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v_Standalone" sheetId="1" r:id="rId1"/>
  </sheets>
  <definedNames>
    <definedName name="_xlnm.Print_Area" localSheetId="0">Kv_Standalone!$A$1:$H$48</definedName>
  </definedNames>
  <calcPr calcId="124519" fullCalcOnLoad="1"/>
</workbook>
</file>

<file path=xl/sharedStrings.xml><?xml version="1.0" encoding="utf-8"?>
<sst xmlns="http://schemas.openxmlformats.org/spreadsheetml/2006/main" count="39" uniqueCount="37">
  <si>
    <t>Kv-Armatur | Druckverlustberechnung</t>
  </si>
  <si>
    <t>Projekt</t>
  </si>
  <si>
    <t>Dokument</t>
  </si>
  <si>
    <t>Bearbeiter</t>
  </si>
  <si>
    <t>Revision</t>
  </si>
  <si>
    <t>EINGABEN | unabhaengig von der Systemberechnung</t>
  </si>
  <si>
    <t>Volumenstrom Q</t>
  </si>
  <si>
    <t>m³/h</t>
  </si>
  <si>
    <t>Kv bei aktueller Oeffnung</t>
  </si>
  <si>
    <t>Dichte rho</t>
  </si>
  <si>
    <t>kg/m³</t>
  </si>
  <si>
    <t>Anzahl gleicher Armaturen in Serie</t>
  </si>
  <si>
    <t>—</t>
  </si>
  <si>
    <t>Dyn. Viskositaet (dokumentiert)</t>
  </si>
  <si>
    <t>mPa·s</t>
  </si>
  <si>
    <t>Temperatur (optional)</t>
  </si>
  <si>
    <t>°C</t>
  </si>
  <si>
    <t>Kv fuer die gewaehlte Oeffnung aus Herstellerdaten einsetzen. Kvs gilt nur bei voller Oeffnung. Anzahl gilt fuer gleiche Armaturen in Serie, nicht parallel.</t>
  </si>
  <si>
    <t>Eingaben gueltig (1=ja)</t>
  </si>
  <si>
    <t>Druckverlust je Armatur</t>
  </si>
  <si>
    <t>bar</t>
  </si>
  <si>
    <t>Gesamtdruckverlust in Serie</t>
  </si>
  <si>
    <t>Gesamtdruckverlust</t>
  </si>
  <si>
    <t>Pa</t>
  </si>
  <si>
    <t>Verlusthoehe der Fluessigkeit</t>
  </si>
  <si>
    <t>m</t>
  </si>
  <si>
    <t>BERECHNUNGSFORMELN | Kv-Definition</t>
  </si>
  <si>
    <t>ρref = 1000 kg/m³; Kv: Volumenstrom bei Δp = 1 bar fuer Referenzwasser</t>
  </si>
  <si>
    <t>Δpeinzeln [bar] = (ρ/ρref) · (Q/Kv)²</t>
  </si>
  <si>
    <t>Δpgesamt [bar] = n · Δpeinzeln [bar]</t>
  </si>
  <si>
    <t>Δp [Pa] = 100000 · Δp [bar]</t>
  </si>
  <si>
    <t>hVerlust [m] = Δpgesamt [Pa] / (ρ g); g = 9,80665 m/s²</t>
  </si>
  <si>
    <t>Q und Kv in m³/h; ρ in kg/m³; bei Q = 0 gilt Δp = 0</t>
  </si>
  <si>
    <t>ANNAHMEN UND GRENZEN</t>
  </si>
  <si>
    <t>Stationaere, einphasige inkompressible Newtonsche Fluessigkeit; konstante Dichte und Armaturenoeffnung. Einfache Kv-Beziehung fuer turbulente, nicht kavitierende Stroemung. Keine Korrektur fuer Viskositaet, Reynolds-Zahl, FL, Kavitation, Flashing oder Choked Flow. Viskositaet und Temperatur sind nur dokumentiert. Kein Rohr-/Blendenmodell; DN und Lochdurchmesser gehoeren zur separaten Blendenberechnung. Kv-Definition im Kontext IEC 60534-2-1, keine vollstaendige normgerechte Regelventilauslegung.</t>
  </si>
  <si>
    <t>Ohne Makros und ohne Verknuepfungen zu anderen Blaettern. Ergebnisse aktualisieren sich mit Excel-Formeln. Fuer Engineering-Freigabe Kv, Stoffwerte und Anwendungsgrenzen pruefen. A4 Hochformat, eine Seite.</t>
  </si>
  <si>
    <t>Geprueft durch: ____________________  Datum: ____________  Freigabe: ______________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</si>
</sst>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sz val="11"/>
      <color theme="1"/>
      <name val="Calibri"/>
      <family val="2"/>
      <scheme val="minor"/>
    </font>
    <font>
      <b/>
      <sz val="17"/>
      <color rgb="FF18546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85469"/>
      <name val="Calibri"/>
      <family val="2"/>
      <scheme val="minor"/>
    </font>
    <font>
      <sz val="11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E4F3FC"/>
        <bgColor indexed="64"/>
      </patternFill>
    </fill>
    <fill>
      <patternFill patternType="solid">
        <fgColor rgb="FF185469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EDF3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2" borderId="1" xfId="0" applyFill="1" applyBorder="1"/>
    <xf numFmtId="0" fontId="3" fillId="3" borderId="0" xfId="0" applyFont="1" applyFill="1"/>
    <xf numFmtId="164" fontId="0" fillId="2" borderId="2" xfId="0" applyNumberFormat="1" applyFill="1" applyBorder="1"/>
    <xf numFmtId="0" fontId="2" fillId="4" borderId="0" xfId="0" applyFont="1" applyFill="1" applyAlignment="1">
      <alignment vertical="center" wrapText="1"/>
    </xf>
    <xf numFmtId="165" fontId="4" fillId="0" borderId="0" xfId="0" applyNumberFormat="1" applyFont="1"/>
    <xf numFmtId="0" fontId="5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showGridLines="0" tabSelected="1" workbookViewId="0"/>
  </sheetViews>
  <sheetFormatPr defaultRowHeight="16" customHeight="1"/>
  <cols>
    <col min="1" max="8" width="11.7109375" customWidth="1"/>
  </cols>
  <sheetData>
    <row r="1" spans="1:8" ht="1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6" customHeight="1">
      <c r="A2" s="1"/>
      <c r="B2" s="1"/>
      <c r="C2" s="1"/>
      <c r="D2" s="1"/>
      <c r="E2" s="1"/>
      <c r="F2" s="1"/>
      <c r="G2" s="1"/>
      <c r="H2" s="1"/>
    </row>
    <row r="3" spans="1:8" ht="16" customHeight="1">
      <c r="A3" s="2" t="s">
        <v>1</v>
      </c>
      <c r="B3" s="3"/>
      <c r="C3" s="3"/>
      <c r="D3" s="3"/>
      <c r="F3" s="2" t="s">
        <v>3</v>
      </c>
      <c r="G3" s="3"/>
      <c r="H3" s="3"/>
    </row>
    <row r="4" spans="1:8" ht="16" customHeight="1">
      <c r="A4" s="2" t="s">
        <v>2</v>
      </c>
      <c r="B4" s="3"/>
      <c r="C4" s="3"/>
      <c r="D4" s="3"/>
      <c r="F4" s="2" t="s">
        <v>4</v>
      </c>
      <c r="G4" s="3"/>
      <c r="H4" s="3"/>
    </row>
    <row r="6" spans="1:8" ht="16" customHeight="1">
      <c r="A6" s="4" t="s">
        <v>5</v>
      </c>
      <c r="B6" s="4"/>
      <c r="C6" s="4"/>
      <c r="D6" s="4"/>
      <c r="E6" s="4"/>
      <c r="F6" s="4"/>
      <c r="G6" s="4"/>
      <c r="H6" s="4"/>
    </row>
    <row r="8" spans="1:8" ht="16" customHeight="1">
      <c r="A8" s="2" t="s">
        <v>6</v>
      </c>
      <c r="B8" s="2"/>
      <c r="C8" s="2"/>
      <c r="D8" s="5">
        <v>10</v>
      </c>
      <c r="E8" s="5"/>
      <c r="F8" s="2" t="s">
        <v>7</v>
      </c>
      <c r="G8" s="6" t="s">
        <v>17</v>
      </c>
      <c r="H8" s="6"/>
    </row>
    <row r="9" spans="1:8" ht="16" customHeight="1">
      <c r="A9" s="2" t="s">
        <v>8</v>
      </c>
      <c r="B9" s="2"/>
      <c r="C9" s="2"/>
      <c r="D9" s="5">
        <v>10</v>
      </c>
      <c r="E9" s="5"/>
      <c r="F9" s="2" t="s">
        <v>7</v>
      </c>
      <c r="G9" s="6"/>
      <c r="H9" s="6"/>
    </row>
    <row r="10" spans="1:8" ht="16" customHeight="1">
      <c r="A10" s="2" t="s">
        <v>9</v>
      </c>
      <c r="B10" s="2"/>
      <c r="C10" s="2"/>
      <c r="D10" s="5">
        <v>1000</v>
      </c>
      <c r="E10" s="5"/>
      <c r="F10" s="2" t="s">
        <v>10</v>
      </c>
      <c r="G10" s="6"/>
      <c r="H10" s="6"/>
    </row>
    <row r="11" spans="1:8" ht="16" customHeight="1">
      <c r="A11" s="2" t="s">
        <v>11</v>
      </c>
      <c r="B11" s="2"/>
      <c r="C11" s="2"/>
      <c r="D11" s="5">
        <v>1</v>
      </c>
      <c r="E11" s="5"/>
      <c r="F11" s="2" t="s">
        <v>12</v>
      </c>
      <c r="G11" s="6"/>
      <c r="H11" s="6"/>
    </row>
    <row r="12" spans="1:8" ht="16" customHeight="1">
      <c r="A12" s="2" t="s">
        <v>13</v>
      </c>
      <c r="B12" s="2"/>
      <c r="C12" s="2"/>
      <c r="D12" s="5">
        <v>1</v>
      </c>
      <c r="E12" s="5"/>
      <c r="F12" s="2" t="s">
        <v>14</v>
      </c>
      <c r="G12" s="6"/>
      <c r="H12" s="6"/>
    </row>
    <row r="13" spans="1:8" ht="16" customHeight="1">
      <c r="A13" s="2" t="s">
        <v>15</v>
      </c>
      <c r="B13" s="2"/>
      <c r="C13" s="2"/>
      <c r="D13" s="5">
        <v>20</v>
      </c>
      <c r="E13" s="5"/>
      <c r="F13" s="2" t="s">
        <v>16</v>
      </c>
      <c r="G13" s="6"/>
      <c r="H13" s="6"/>
    </row>
    <row r="16" spans="1:8" ht="16" customHeight="1">
      <c r="A16" s="2" t="s">
        <v>18</v>
      </c>
      <c r="B16" s="2"/>
      <c r="C16" s="2"/>
      <c r="D16" s="7">
        <f>IFERROR(IF(AND(ISNUMBER(D8),ISNUMBER(D9),ISNUMBER(D10),ISNUMBER(D11),ISNUMBER(D12),D8&gt;=0,D9&gt;0,D10&gt;0,D11&gt;=1,D11&lt;=1000,D11=INT(D11),D12&gt;0,OR(ISBLANK(D13),AND(ISNUMBER(D13),D13&gt;=-273.15))),1,0),0)</f>
        <v>0</v>
      </c>
      <c r="E16" s="7"/>
    </row>
    <row r="17" spans="1:8" ht="16" customHeight="1">
      <c r="A17" s="6" t="str">
        <f>IF(D16&lt;&gt;1,"UNGUELTIG: Eingaben pruefen; Ergebnisse nicht verwendbar.","Kv-Naeherung: turbulent, konstante Oeffnung, nicht kavitierend. Herstellergrenzen pruefen; keine Viskositaetskorrektur.")</f>
        <v>Beim Oeffnen in Excel neu berechnen.</v>
      </c>
      <c r="B17" s="6"/>
      <c r="C17" s="6"/>
      <c r="D17" s="6"/>
      <c r="E17" s="6"/>
      <c r="F17" s="6"/>
      <c r="G17" s="6"/>
      <c r="H17" s="6"/>
    </row>
    <row r="18" spans="1:8" ht="16" customHeight="1">
      <c r="A18" s="6"/>
      <c r="B18" s="6"/>
      <c r="C18" s="6"/>
      <c r="D18" s="6"/>
      <c r="E18" s="6"/>
      <c r="F18" s="6"/>
      <c r="G18" s="6"/>
      <c r="H18" s="6"/>
    </row>
    <row r="19" spans="1:8" ht="16" customHeight="1">
      <c r="A19" s="6"/>
      <c r="B19" s="6"/>
      <c r="C19" s="6"/>
      <c r="D19" s="6"/>
      <c r="E19" s="6"/>
      <c r="F19" s="6"/>
      <c r="G19" s="6"/>
      <c r="H19" s="6"/>
    </row>
    <row r="21" spans="1:8" ht="16" customHeight="1">
      <c r="A21" s="2" t="s">
        <v>19</v>
      </c>
      <c r="B21" s="2"/>
      <c r="C21" s="2"/>
      <c r="D21" s="7" t="e">
        <f>IF($D$16=1,(D10/1000)*(D8/D9)^2,NA())</f>
        <v>#N/A</v>
      </c>
      <c r="E21" s="7"/>
      <c r="F21" s="2" t="s">
        <v>20</v>
      </c>
    </row>
    <row r="22" spans="1:8" ht="16" customHeight="1">
      <c r="A22" s="2" t="s">
        <v>21</v>
      </c>
      <c r="B22" s="2"/>
      <c r="C22" s="2"/>
      <c r="D22" s="7" t="e">
        <f>IF($D$16=1,D11*(D10/1000)*(D8/D9)^2,NA())</f>
        <v>#N/A</v>
      </c>
      <c r="E22" s="7"/>
      <c r="F22" s="2" t="s">
        <v>20</v>
      </c>
    </row>
    <row r="23" spans="1:8" ht="16" customHeight="1">
      <c r="A23" s="2" t="s">
        <v>22</v>
      </c>
      <c r="B23" s="2"/>
      <c r="C23" s="2"/>
      <c r="D23" s="7" t="e">
        <f>IF($D$16=1,D22*100000,NA())</f>
        <v>#N/A</v>
      </c>
      <c r="E23" s="7"/>
      <c r="F23" s="2" t="s">
        <v>23</v>
      </c>
    </row>
    <row r="24" spans="1:8" ht="16" customHeight="1">
      <c r="A24" s="2" t="s">
        <v>24</v>
      </c>
      <c r="B24" s="2"/>
      <c r="C24" s="2"/>
      <c r="D24" s="7" t="e">
        <f>IF($D$16=1,D22*100000/(D10*9.80665),NA())</f>
        <v>#N/A</v>
      </c>
      <c r="E24" s="7"/>
      <c r="F24" s="2" t="s">
        <v>25</v>
      </c>
    </row>
    <row r="27" spans="1:8" ht="16" customHeight="1">
      <c r="A27" s="4" t="s">
        <v>26</v>
      </c>
      <c r="B27" s="4"/>
      <c r="C27" s="4"/>
      <c r="D27" s="4"/>
      <c r="E27" s="4"/>
      <c r="F27" s="4"/>
      <c r="G27" s="4"/>
      <c r="H27" s="4"/>
    </row>
    <row r="28" spans="1:8" ht="22" customHeight="1">
      <c r="A28" s="8" t="s">
        <v>27</v>
      </c>
      <c r="B28" s="8"/>
      <c r="C28" s="8"/>
      <c r="D28" s="8"/>
      <c r="E28" s="8"/>
      <c r="F28" s="8"/>
      <c r="G28" s="8"/>
      <c r="H28" s="8"/>
    </row>
    <row r="29" spans="1:8" ht="22" customHeight="1">
      <c r="A29" s="8" t="s">
        <v>28</v>
      </c>
      <c r="B29" s="8"/>
      <c r="C29" s="8"/>
      <c r="D29" s="8"/>
      <c r="E29" s="8"/>
      <c r="F29" s="8"/>
      <c r="G29" s="8"/>
      <c r="H29" s="8"/>
    </row>
    <row r="30" spans="1:8" ht="22" customHeight="1">
      <c r="A30" s="8" t="s">
        <v>29</v>
      </c>
      <c r="B30" s="8"/>
      <c r="C30" s="8"/>
      <c r="D30" s="8"/>
      <c r="E30" s="8"/>
      <c r="F30" s="8"/>
      <c r="G30" s="8"/>
      <c r="H30" s="8"/>
    </row>
    <row r="31" spans="1:8" ht="22" customHeight="1">
      <c r="A31" s="8" t="s">
        <v>30</v>
      </c>
      <c r="B31" s="8"/>
      <c r="C31" s="8"/>
      <c r="D31" s="8"/>
      <c r="E31" s="8"/>
      <c r="F31" s="8"/>
      <c r="G31" s="8"/>
      <c r="H31" s="8"/>
    </row>
    <row r="32" spans="1:8" ht="22" customHeight="1">
      <c r="A32" s="8" t="s">
        <v>31</v>
      </c>
      <c r="B32" s="8"/>
      <c r="C32" s="8"/>
      <c r="D32" s="8"/>
      <c r="E32" s="8"/>
      <c r="F32" s="8"/>
      <c r="G32" s="8"/>
      <c r="H32" s="8"/>
    </row>
    <row r="33" spans="1:8" ht="22" customHeight="1">
      <c r="A33" s="8" t="s">
        <v>32</v>
      </c>
      <c r="B33" s="8"/>
      <c r="C33" s="8"/>
      <c r="D33" s="8"/>
      <c r="E33" s="8"/>
      <c r="F33" s="8"/>
      <c r="G33" s="8"/>
      <c r="H33" s="8"/>
    </row>
    <row r="35" spans="1:8" ht="16" customHeight="1">
      <c r="A35" s="4" t="s">
        <v>33</v>
      </c>
      <c r="B35" s="4"/>
      <c r="C35" s="4"/>
      <c r="D35" s="4"/>
      <c r="E35" s="4"/>
      <c r="F35" s="4"/>
      <c r="G35" s="4"/>
      <c r="H35" s="4"/>
    </row>
    <row r="36" spans="1:8" ht="16" customHeight="1">
      <c r="A36" s="2" t="s">
        <v>34</v>
      </c>
      <c r="B36" s="2"/>
      <c r="C36" s="2"/>
      <c r="D36" s="2"/>
      <c r="E36" s="2"/>
      <c r="F36" s="2"/>
      <c r="G36" s="2"/>
      <c r="H36" s="2"/>
    </row>
    <row r="37" spans="1:8" ht="16" customHeight="1">
      <c r="A37" s="2"/>
      <c r="B37" s="2"/>
      <c r="C37" s="2"/>
      <c r="D37" s="2"/>
      <c r="E37" s="2"/>
      <c r="F37" s="2"/>
      <c r="G37" s="2"/>
      <c r="H37" s="2"/>
    </row>
    <row r="38" spans="1:8" ht="16" customHeight="1">
      <c r="A38" s="2"/>
      <c r="B38" s="2"/>
      <c r="C38" s="2"/>
      <c r="D38" s="2"/>
      <c r="E38" s="2"/>
      <c r="F38" s="2"/>
      <c r="G38" s="2"/>
      <c r="H38" s="2"/>
    </row>
    <row r="39" spans="1:8" ht="16" customHeight="1">
      <c r="A39" s="2"/>
      <c r="B39" s="2"/>
      <c r="C39" s="2"/>
      <c r="D39" s="2"/>
      <c r="E39" s="2"/>
      <c r="F39" s="2"/>
      <c r="G39" s="2"/>
      <c r="H39" s="2"/>
    </row>
    <row r="40" spans="1:8" ht="16" customHeight="1">
      <c r="A40" s="2"/>
      <c r="B40" s="2"/>
      <c r="C40" s="2"/>
      <c r="D40" s="2"/>
      <c r="E40" s="2"/>
      <c r="F40" s="2"/>
      <c r="G40" s="2"/>
      <c r="H40" s="2"/>
    </row>
    <row r="41" spans="1:8" ht="16" customHeight="1">
      <c r="A41" s="2"/>
      <c r="B41" s="2"/>
      <c r="C41" s="2"/>
      <c r="D41" s="2"/>
      <c r="E41" s="2"/>
      <c r="F41" s="2"/>
      <c r="G41" s="2"/>
      <c r="H41" s="2"/>
    </row>
    <row r="43" spans="1:8" ht="16" customHeight="1">
      <c r="A43" s="6" t="s">
        <v>35</v>
      </c>
      <c r="B43" s="6"/>
      <c r="C43" s="6"/>
      <c r="D43" s="6"/>
      <c r="E43" s="6"/>
      <c r="F43" s="6"/>
      <c r="G43" s="6"/>
      <c r="H43" s="6"/>
    </row>
    <row r="44" spans="1:8" ht="16" customHeight="1">
      <c r="A44" s="6"/>
      <c r="B44" s="6"/>
      <c r="C44" s="6"/>
      <c r="D44" s="6"/>
      <c r="E44" s="6"/>
      <c r="F44" s="6"/>
      <c r="G44" s="6"/>
      <c r="H44" s="6"/>
    </row>
    <row r="45" spans="1:8" ht="16" customHeight="1">
      <c r="A45" s="6"/>
      <c r="B45" s="6"/>
      <c r="C45" s="6"/>
      <c r="D45" s="6"/>
      <c r="E45" s="6"/>
      <c r="F45" s="6"/>
      <c r="G45" s="6"/>
      <c r="H45" s="6"/>
    </row>
    <row r="47" spans="1:8" ht="16" customHeight="1">
      <c r="A47" s="2" t="s">
        <v>36</v>
      </c>
      <c r="B47" s="2"/>
      <c r="C47" s="2"/>
      <c r="D47" s="2"/>
      <c r="E47" s="2"/>
      <c r="F47" s="2"/>
      <c r="G47" s="2"/>
      <c r="H47" s="2"/>
    </row>
    <row r="48" spans="1:8" ht="16" customHeight="1">
      <c r="A48" s="2"/>
      <c r="B48" s="2"/>
      <c r="C48" s="2"/>
      <c r="D48" s="2"/>
      <c r="E48" s="2"/>
      <c r="F48" s="2"/>
      <c r="G48" s="2"/>
      <c r="H48" s="2"/>
    </row>
  </sheetData>
  <mergeCells count="41">
    <mergeCell ref="A1:H2"/>
    <mergeCell ref="B3:D3"/>
    <mergeCell ref="B4:D4"/>
    <mergeCell ref="G3:H3"/>
    <mergeCell ref="G4:H4"/>
    <mergeCell ref="A6:H6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G8:H13"/>
    <mergeCell ref="A16:C16"/>
    <mergeCell ref="D16:E16"/>
    <mergeCell ref="A17:H19"/>
    <mergeCell ref="A21:C21"/>
    <mergeCell ref="D21:E21"/>
    <mergeCell ref="A22:C22"/>
    <mergeCell ref="D22:E22"/>
    <mergeCell ref="A23:C23"/>
    <mergeCell ref="D23:E23"/>
    <mergeCell ref="A24:C24"/>
    <mergeCell ref="D24:E24"/>
    <mergeCell ref="A27:H27"/>
    <mergeCell ref="A28:H28"/>
    <mergeCell ref="A29:H29"/>
    <mergeCell ref="A30:H30"/>
    <mergeCell ref="A31:H31"/>
    <mergeCell ref="A32:H32"/>
    <mergeCell ref="A33:H33"/>
    <mergeCell ref="A35:H35"/>
    <mergeCell ref="A36:H41"/>
    <mergeCell ref="A43:H45"/>
    <mergeCell ref="A47:H48"/>
  </mergeCells>
  <dataValidations count="5">
    <dataValidation type="decimal" operator="greaterThan" allowBlank="1" showInputMessage="1" showErrorMessage="1" sqref="D9">
      <formula1>0</formula1>
    </dataValidation>
    <dataValidation type="decimal" operator="greaterThan" allowBlank="1" showInputMessage="1" showErrorMessage="1" sqref="D10">
      <formula1>0</formula1>
    </dataValidation>
    <dataValidation type="decimal" operator="greaterThan" allowBlank="1" showInputMessage="1" showErrorMessage="1" sqref="D12">
      <formula1>0</formula1>
    </dataValidation>
    <dataValidation type="decimal" operator="greaterThanOrEqual" allowBlank="1" showInputMessage="1" showErrorMessage="1" sqref="D8">
      <formula1>0</formula1>
    </dataValidation>
    <dataValidation type="whole" allowBlank="1" showInputMessage="1" showErrorMessage="1" sqref="D11">
      <formula1>1</formula1>
      <formula2>1000</formula2>
    </dataValidation>
  </dataValidations>
  <pageMargins left="0.3" right="0.3" top="0.35" bottom="0.35" header="0.3" footer="0.3"/>
  <pageSetup paperSize="9" orientation="portrait"/>
  <headerFooter>
    <oddHeader>&amp;C&amp;BDruckverlust | Engineering&amp;B</oddHeader>
    <oddFooter>&amp;L&amp;D&amp;RSeite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Kv_Standalone</vt:lpstr>
      <vt:lpstr>Kv_Standalone!Print_Area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2026-10-25T17:18:02Z</dcterms:created>
  <dcterms:modified xsi:type="dcterms:W3CDTF">2026-10-25T17:18:02Z</dcterms:modified>
</cp:coreProperties>
</file>