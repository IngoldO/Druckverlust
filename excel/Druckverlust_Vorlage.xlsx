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ngabe" sheetId="1" r:id="rId1"/>
    <sheet name="Ergebnisse" sheetId="2" r:id="rId2"/>
    <sheet name="Armaturendatenbank" sheetId="3" r:id="rId3"/>
    <sheet name="Lochblende" sheetId="4" r:id="rId4"/>
    <sheet name="Pumpe" sheetId="5" r:id="rId5"/>
    <sheet name="Betriebspunkte" sheetId="6" r:id="rId6"/>
  </sheets>
  <definedNames>
    <definedName name="ArmaturenTypen">'Armaturendatenbank'!$A$5:$A$16</definedName>
    <definedName name="DNWerte">'Armaturendatenbank'!$F$5:$F$22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6" authorId="0">
      <text>
        <r>
          <rPr>
            <sz val="8"/>
            <color indexed="81"/>
            <rFont val="Tahoma"/>
            <family val="2"/>
          </rPr>
          <t>DN-Vorschlag ist keine normative Rohrabmessung. Tatsaechlichen Innendurchmesser anhand Rohrdaten verifizieren.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5" authorId="0">
      <text>
        <r>
          <rPr>
            <sz val="8"/>
            <color indexed="81"/>
            <rFont val="Tahoma"/>
            <family val="2"/>
          </rPr>
          <t>Illustrative Innendurchmesser einer Stahlrohrreihe; keine verbindliche Normzuordnung. Manuell verifizieren.</t>
        </r>
      </text>
    </comment>
  </commentList>
</comments>
</file>

<file path=xl/sharedStrings.xml><?xml version="1.0" encoding="utf-8"?>
<sst xmlns="http://schemas.openxmlformats.org/spreadsheetml/2006/main" count="169" uniqueCount="100">
  <si>
    <t>Rohrleitungs-Systemkennlinie</t>
  </si>
  <si>
    <t>Blaue Zellen: Eingaben. Vor Verwendung VBA importieren, als XLSM speichern und Einrichtung ausfuehren. Nach jeder Aenderung neu berechnen. DN ist nur eine Auswahlhilfe.</t>
  </si>
  <si>
    <t>Rohrnennweite DN</t>
  </si>
  <si>
    <t>—</t>
  </si>
  <si>
    <t>Tatsaechlicher Innendurchmesser</t>
  </si>
  <si>
    <t>mm</t>
  </si>
  <si>
    <t>Rohrlaenge</t>
  </si>
  <si>
    <t>m</t>
  </si>
  <si>
    <t>Absolute Rauigkeit</t>
  </si>
  <si>
    <t>Hoehe Austritt minus Eintritt</t>
  </si>
  <si>
    <t>Dichte</t>
  </si>
  <si>
    <t>kg/m³</t>
  </si>
  <si>
    <t>Dynamische Viskositaet</t>
  </si>
  <si>
    <t>mPa·s</t>
  </si>
  <si>
    <t>Temperatur (optional)</t>
  </si>
  <si>
    <t>°C</t>
  </si>
  <si>
    <t>Minimaler Volumenstrom</t>
  </si>
  <si>
    <t>m³/h</t>
  </si>
  <si>
    <t>Maximaler Volumenstrom</t>
  </si>
  <si>
    <t>Berechnungspunkte</t>
  </si>
  <si>
    <t>Druck Ziel minus Quelle</t>
  </si>
  <si>
    <t>bar</t>
  </si>
  <si>
    <t>Einzelpunkt Q [m³/h]</t>
  </si>
  <si>
    <t>Zeta leer = aktueller Datenbankwert; Zahl = manuelle Ueberschreibung. Anzahl 0 deaktiviert die Zeile. Neue Zeilen per Schaltflaeche. Alle Standardwerte sind Naeherungswerte und auf die lokale Rohrgeschwindigkeit bezogen.</t>
  </si>
  <si>
    <t>Armaturentyp</t>
  </si>
  <si>
    <t>Anzahl</t>
  </si>
  <si>
    <t>Zeta manuell</t>
  </si>
  <si>
    <t>Hinweis</t>
  </si>
  <si>
    <t>90°-Rohrbogen</t>
  </si>
  <si>
    <t>Leer = Datenbank; ueberschreibbar</t>
  </si>
  <si>
    <t>45°-Rohrbogen</t>
  </si>
  <si>
    <t>T-Stück, gerader Durchgang</t>
  </si>
  <si>
    <t>T-Stück, Abzweig</t>
  </si>
  <si>
    <t>Kugelhahn, vollständig geöffnet</t>
  </si>
  <si>
    <t>Absperrschieber, vollständig geöffnet</t>
  </si>
  <si>
    <t>Sitzventil</t>
  </si>
  <si>
    <t>Rückschlagventil</t>
  </si>
  <si>
    <t>Schmutzfänger</t>
  </si>
  <si>
    <t>Rohreintritt</t>
  </si>
  <si>
    <t>Rohraustritt</t>
  </si>
  <si>
    <t>Frei definierbarer Einzelwiderstand</t>
  </si>
  <si>
    <t>Armaturen und DN-Vorschlaege</t>
  </si>
  <si>
    <t>Illustrative Richtwerte, keine Herstellerkennwerte. Fuer Auslegung Bauform, Oeffnung, Reynolds-Zahl und Datenqualitaet pruefen. Quellen und Modellgrenzen siehe docs/Modell.md.</t>
  </si>
  <si>
    <t>Typ</t>
  </si>
  <si>
    <t>Zeta</t>
  </si>
  <si>
    <t>Bedingungen</t>
  </si>
  <si>
    <t>Quelle / Datenqualitaet</t>
  </si>
  <si>
    <t>Standardradius; stark von R/D abhaengig</t>
  </si>
  <si>
    <t>Illustrativer Richtwert; Vergleich: Crane TP-410 / Idelchik, keine editionsgenaue Tabellenuebernahme</t>
  </si>
  <si>
    <t>Gleiche Durchmesser; Durchflussaufteilung beachten</t>
  </si>
  <si>
    <t>90 Grad Abzweig; Durchflussaufteilung beachten</t>
  </si>
  <si>
    <t>Voller Durchgang, nur voll geoeffnet</t>
  </si>
  <si>
    <t>Nur voll geoeffnet</t>
  </si>
  <si>
    <t>Konventionelle Bauform, voll geoeffnet</t>
  </si>
  <si>
    <t>Illustrativer Klappentyp; Herstellerdaten erforderlich</t>
  </si>
  <si>
    <t>Sauber; Siebgeometrie und Verschmutzung beachten</t>
  </si>
  <si>
    <t>Scharfkantiger Eintritt aus grossem Behaelter</t>
  </si>
  <si>
    <t>Austritt in grossen Behaelter, kinetische Energie dissipiert</t>
  </si>
  <si>
    <t>Benutzer muss projektspezifischen Wert setzen</t>
  </si>
  <si>
    <t>DN</t>
  </si>
  <si>
    <t>Di Vorschlag mm</t>
  </si>
  <si>
    <t>Ergebnisse und Systemkennlinie</t>
  </si>
  <si>
    <t>NOCH NICHT BERECHNET – VBA importieren und Berechnung starten.</t>
  </si>
  <si>
    <t>Nach Aenderungen neu berechnen. Tabelleninhalt gilt nur fuer den letzten erfolgreichen Lauf.</t>
  </si>
  <si>
    <t>Q [m³/h]</t>
  </si>
  <si>
    <t>v [m/s]</t>
  </si>
  <si>
    <t>Re [-]</t>
  </si>
  <si>
    <t>Darcy λ [-]</t>
  </si>
  <si>
    <t>Rohr [bar]</t>
  </si>
  <si>
    <t>Armaturen [bar]</t>
  </si>
  <si>
    <t>Geodaetisch [bar]</t>
  </si>
  <si>
    <t>Behaelter [bar]</t>
  </si>
  <si>
    <t>Gesamt [bar]</t>
  </si>
  <si>
    <t>Regime</t>
  </si>
  <si>
    <t>Warnung</t>
  </si>
  <si>
    <t>davon Blende [bar]</t>
  </si>
  <si>
    <t>Lochblende | bleibender Druckverlust</t>
  </si>
  <si>
    <t>Scharfkantige, duenne, konzentrische Blende. Cd ist eine Annahme; keine ISO-5167-Messauslegung. Rohr-Di und Lochdurchmesser manuell pruefen. Aktiv=0 deaktiviert die Blende.</t>
  </si>
  <si>
    <t>Aktiv (0=aus, 1=ein)</t>
  </si>
  <si>
    <t>Blenden-Nennweite DN</t>
  </si>
  <si>
    <t>Tatsaechlicher Rohr-Di an Blende</t>
  </si>
  <si>
    <t>Lochdurchmesser d</t>
  </si>
  <si>
    <t>Durchflussbeiwert Cd</t>
  </si>
  <si>
    <t>Anzahl gleicher Blenden</t>
  </si>
  <si>
    <t>Modellbereich: 0,2 &lt;= d/Di &lt;= 0,75. Cd=0,61 ist ein illustrativer Startwert. Unter Re=10000 erscheint eine Unsicherheitswarnung. DN-Vorschlag ueber Schaltflaeche auf Eingabe uebernehmen; der tatsaechliche Di bleibt aenderbar. Bei abweichender Rohrweite sind Reduzierverluste separat zu ergaenzen.</t>
  </si>
  <si>
    <t>Durchmesserverhaeltnis beta</t>
  </si>
  <si>
    <t>Pumpenkennlinie und Betriebspunkt</t>
  </si>
  <si>
    <t>NOCH NICHT BERECHNET</t>
  </si>
  <si>
    <t>BEISPIELWERTE ersetzen: Q streng steigend, Foerderhoehe H streng fallend. 2 bis 1000 Tabellenzeilen; keine Leerzeilen. H in Metern der gefoerderten Fluessigkeit. Berechnung ueber Pumpenbetriebspunkt auf Eingabe. Keine Extrapolation ausserhalb der eingegebenen Kennlinie.</t>
  </si>
  <si>
    <t>Pumpendruck in Spalte C wird beim Berechnen aus aktueller Dichte erzeugt. Nach jeder Aenderung erneut berechnen. Schnittpunkt und Verlustanteile stehen auf Betriebspunkte; das Diagramm erscheint rechts neben der Pumpentabelle.</t>
  </si>
  <si>
    <t>Q [m3/h]</t>
  </si>
  <si>
    <t>Foerderhoehe H [m]</t>
  </si>
  <si>
    <t>Pumpendruck [bar]</t>
  </si>
  <si>
    <t>System Q [m3/h]</t>
  </si>
  <si>
    <t>Systemdruck [bar]</t>
  </si>
  <si>
    <t>Einzelpunkt und Pumpenbetriebspunkt</t>
  </si>
  <si>
    <t>Nach Aenderungen jeden gewuenschten Berechnungsmodus neu starten. Blendenanteil ist in Armaturen enthalten.</t>
  </si>
  <si>
    <t>Einzelpunkt: NOCH NICHT BERECHNET</t>
  </si>
  <si>
    <t>Schnittpunkt Pumpe / System</t>
  </si>
  <si>
    <t>Pumpenschnittpunkt: NOCH NICHT BERECHNET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</si>
</sst>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5">
    <font>
      <sz val="11"/>
      <color theme="1"/>
      <name val="Calibri"/>
      <family val="2"/>
      <scheme val="minor"/>
    </font>
    <font>
      <b/>
      <sz val="19"/>
      <color rgb="FF185469"/>
      <name val="Calibri"/>
      <family val="2"/>
      <scheme val="minor"/>
    </font>
    <font>
      <sz val="11"/>
      <color rgb="FF6C51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3CC"/>
        <bgColor indexed="64"/>
      </patternFill>
    </fill>
    <fill>
      <patternFill patternType="solid">
        <fgColor rgb="FF185469"/>
        <bgColor indexed="64"/>
      </patternFill>
    </fill>
    <fill>
      <patternFill patternType="solid">
        <fgColor rgb="FFE4F3F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0" fontId="3" fillId="3" borderId="0" xfId="0" applyFont="1" applyFill="1" applyAlignment="1">
      <alignment wrapText="1"/>
    </xf>
    <xf numFmtId="164" fontId="0" fillId="4" borderId="0" xfId="0" applyNumberFormat="1" applyFill="1"/>
    <xf numFmtId="1" fontId="0" fillId="4" borderId="0" xfId="0" applyNumberFormat="1" applyFill="1"/>
    <xf numFmtId="0" fontId="0" fillId="4" borderId="0" xfId="0" applyFill="1"/>
    <xf numFmtId="165" fontId="0" fillId="0" borderId="0" xfId="0" applyNumberFormat="1"/>
  </cellXfs>
  <cellStyles count="1">
    <cellStyle name="Normal" xfId="0" builtinId="0"/>
  </cellStyles>
  <dxfs count="5">
    <dxf>
      <fill>
        <patternFill>
          <bgColor rgb="FFE4F3FC"/>
        </patternFill>
      </fill>
    </dxf>
    <dxf>
      <numFmt numFmtId="1" formatCode="0"/>
      <fill>
        <patternFill>
          <bgColor rgb="FFE4F3FC"/>
        </patternFill>
      </fill>
    </dxf>
    <dxf>
      <numFmt numFmtId="164" formatCode="0.000"/>
      <fill>
        <patternFill>
          <bgColor rgb="FFE4F3FC"/>
        </patternFill>
      </fill>
    </dxf>
    <dxf>
      <font>
        <color rgb="FF6C5100"/>
      </font>
      <fill>
        <patternFill>
          <bgColor rgb="FFFFF3CC"/>
        </patternFill>
      </fill>
    </dxf>
    <dxf>
      <numFmt numFmtId="165" formatCode="0.00000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Nach VBA-Berechnung automatisch aktualisiert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Rohrreibung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Ergebnisse!$E$5:$E$105</c:f>
              <c:numCache>
                <c:formatCode>General</c:formatCode>
                <c:ptCount val="101"/>
              </c:numCache>
            </c:numRef>
          </c:yVal>
        </c:ser>
        <c:ser>
          <c:idx val="1"/>
          <c:order val="1"/>
          <c:tx>
            <c:v>Einzelwiderstaende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Ergebnisse!$F$5:$F$105</c:f>
              <c:numCache>
                <c:formatCode>General</c:formatCode>
                <c:ptCount val="101"/>
              </c:numCache>
            </c:numRef>
          </c:yVal>
        </c:ser>
        <c:ser>
          <c:idx val="2"/>
          <c:order val="2"/>
          <c:tx>
            <c:v>System gesamt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Ergebnisse!$I$5:$I$105</c:f>
              <c:numCache>
                <c:formatCode>General</c:formatCode>
                <c:ptCount val="101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Volumenstrom Q [m³/h]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Differenzdruck Δp [bar]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Nach Pumpenberechnung aktualisiert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Pumpe</c:v>
          </c:tx>
          <c:marker>
            <c:symbol val="none"/>
          </c:marker>
          <c:xVal>
            <c:numRef>
              <c:f>Pumpe!$A$21:$A$26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Pumpe!$C$21:$C$26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ser>
          <c:idx val="1"/>
          <c:order val="1"/>
          <c:tx>
            <c:v>System</c:v>
          </c:tx>
          <c:marker>
            <c:symbol val="none"/>
          </c:marker>
          <c:xVal>
            <c:numRef>
              <c:f>Pumpe!$N$5:$N$205</c:f>
              <c:numCache>
                <c:formatCode>General</c:formatCode>
                <c:ptCount val="201"/>
              </c:numCache>
            </c:numRef>
          </c:xVal>
          <c:yVal>
            <c:numRef>
              <c:f>Pumpe!$O$5:$O$205</c:f>
              <c:numCache>
                <c:formatCode>General</c:formatCode>
                <c:ptCount val="201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 [m³/h]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Differenzdruck [bar]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3</xdr:row>
      <xdr:rowOff>0</xdr:rowOff>
    </xdr:from>
    <xdr:to>
      <xdr:col>27</xdr:col>
      <xdr:colOff>38100</xdr:colOff>
      <xdr:row>23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19</xdr:row>
      <xdr:rowOff>0</xdr:rowOff>
    </xdr:from>
    <xdr:to>
      <xdr:col>13</xdr:col>
      <xdr:colOff>171450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rmaturen" displayName="tblArmaturen" ref="A20:D32" totalsRowShown="0">
  <autoFilter ref="A20:D32"/>
  <tableColumns count="4">
    <tableColumn id="1" name="Armaturentyp" dataDxfId="0"/>
    <tableColumn id="2" name="Anzahl" dataDxfId="1"/>
    <tableColumn id="3" name="Zeta manuell" dataDxfId="2"/>
    <tableColumn id="4" name="Hinwe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Datenbank" displayName="tblDatenbank" ref="A4:D16" totalsRowShown="0">
  <autoFilter ref="A4:D16"/>
  <tableColumns count="4">
    <tableColumn id="1" name="Typ"/>
    <tableColumn id="2" name="Zeta"/>
    <tableColumn id="3" name="Bedingungen"/>
    <tableColumn id="4" name="Quelle / Datenqualita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umpe" displayName="tblPumpe" ref="A20:C26" totalsRowShown="0">
  <autoFilter ref="A20:C26"/>
  <tableColumns count="3">
    <tableColumn id="1" name="Q [m3/h]" dataDxfId="2"/>
    <tableColumn id="2" name="Foerderhoehe H [m]" dataDxfId="2"/>
    <tableColumn id="3" name="Pumpendruck [bar]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table" Target="../tables/table1.xml"/><Relationship Id="rId3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table" Target="../tables/table2.x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2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2.7109375" customWidth="1"/>
    <col min="2" max="3" width="19.7109375" customWidth="1"/>
    <col min="4" max="4" width="52.7109375" customWidth="1"/>
    <col min="6" max="9" width="15.7109375" customWidth="1"/>
  </cols>
  <sheetData>
    <row r="1" spans="1:8">
      <c r="A1" s="1" t="s">
        <v>0</v>
      </c>
    </row>
    <row r="2" spans="1:8">
      <c r="A2" s="2" t="s">
        <v>1</v>
      </c>
      <c r="B2" s="2"/>
      <c r="C2" s="2"/>
      <c r="D2" s="2"/>
      <c r="F2" s="3" t="s">
        <v>22</v>
      </c>
      <c r="G2" s="3"/>
      <c r="H2" s="3"/>
    </row>
    <row r="3" spans="1:8">
      <c r="A3" s="2"/>
      <c r="B3" s="2"/>
      <c r="C3" s="2"/>
      <c r="D3" s="2"/>
      <c r="G3" s="4">
        <v>10</v>
      </c>
    </row>
    <row r="5" spans="1:8">
      <c r="A5" t="s">
        <v>2</v>
      </c>
      <c r="B5" s="5">
        <v>50</v>
      </c>
      <c r="C5" t="s">
        <v>3</v>
      </c>
    </row>
    <row r="6" spans="1:8">
      <c r="A6" t="s">
        <v>4</v>
      </c>
      <c r="B6" s="4">
        <v>54.5</v>
      </c>
      <c r="C6" t="s">
        <v>5</v>
      </c>
    </row>
    <row r="7" spans="1:8">
      <c r="A7" t="s">
        <v>6</v>
      </c>
      <c r="B7" s="4">
        <v>100</v>
      </c>
      <c r="C7" t="s">
        <v>7</v>
      </c>
    </row>
    <row r="8" spans="1:8">
      <c r="A8" t="s">
        <v>8</v>
      </c>
      <c r="B8" s="4">
        <v>0.045</v>
      </c>
      <c r="C8" t="s">
        <v>5</v>
      </c>
    </row>
    <row r="9" spans="1:8">
      <c r="A9" t="s">
        <v>9</v>
      </c>
      <c r="B9" s="4">
        <v>0</v>
      </c>
      <c r="C9" t="s">
        <v>7</v>
      </c>
    </row>
    <row r="10" spans="1:8">
      <c r="A10" t="s">
        <v>10</v>
      </c>
      <c r="B10" s="4">
        <v>998.2</v>
      </c>
      <c r="C10" t="s">
        <v>11</v>
      </c>
    </row>
    <row r="11" spans="1:8">
      <c r="A11" t="s">
        <v>12</v>
      </c>
      <c r="B11" s="4">
        <v>1.002</v>
      </c>
      <c r="C11" t="s">
        <v>13</v>
      </c>
    </row>
    <row r="12" spans="1:8">
      <c r="A12" t="s">
        <v>14</v>
      </c>
      <c r="B12" s="4">
        <v>20</v>
      </c>
      <c r="C12" t="s">
        <v>15</v>
      </c>
    </row>
    <row r="13" spans="1:8">
      <c r="A13" t="s">
        <v>16</v>
      </c>
      <c r="B13" s="4">
        <v>0</v>
      </c>
      <c r="C13" t="s">
        <v>17</v>
      </c>
    </row>
    <row r="14" spans="1:8">
      <c r="A14" t="s">
        <v>18</v>
      </c>
      <c r="B14" s="4">
        <v>30</v>
      </c>
      <c r="C14" t="s">
        <v>17</v>
      </c>
    </row>
    <row r="15" spans="1:8">
      <c r="A15" t="s">
        <v>19</v>
      </c>
      <c r="B15" s="5">
        <v>101</v>
      </c>
      <c r="C15" t="s">
        <v>3</v>
      </c>
    </row>
    <row r="16" spans="1:8">
      <c r="A16" t="s">
        <v>20</v>
      </c>
      <c r="B16" s="4">
        <v>0</v>
      </c>
      <c r="C16" t="s">
        <v>21</v>
      </c>
    </row>
    <row r="18" spans="1:4">
      <c r="A18" s="2" t="s">
        <v>23</v>
      </c>
      <c r="B18" s="2"/>
      <c r="C18" s="2"/>
      <c r="D18" s="2"/>
    </row>
    <row r="19" spans="1:4">
      <c r="A19" s="2"/>
      <c r="B19" s="2"/>
      <c r="C19" s="2"/>
      <c r="D19" s="2"/>
    </row>
    <row r="20" spans="1:4">
      <c r="A20" t="s">
        <v>24</v>
      </c>
      <c r="B20" t="s">
        <v>25</v>
      </c>
      <c r="C20" t="s">
        <v>26</v>
      </c>
      <c r="D20" t="s">
        <v>27</v>
      </c>
    </row>
    <row r="21" spans="1:4">
      <c r="A21" s="6" t="s">
        <v>28</v>
      </c>
      <c r="B21" s="5">
        <v>0</v>
      </c>
      <c r="C21" s="4"/>
      <c r="D21" t="s">
        <v>29</v>
      </c>
    </row>
    <row r="22" spans="1:4">
      <c r="A22" s="6" t="s">
        <v>30</v>
      </c>
      <c r="B22" s="5">
        <v>0</v>
      </c>
      <c r="C22" s="4"/>
      <c r="D22" t="s">
        <v>29</v>
      </c>
    </row>
    <row r="23" spans="1:4">
      <c r="A23" s="6" t="s">
        <v>31</v>
      </c>
      <c r="B23" s="5">
        <v>0</v>
      </c>
      <c r="C23" s="4"/>
      <c r="D23" t="s">
        <v>29</v>
      </c>
    </row>
    <row r="24" spans="1:4">
      <c r="A24" s="6" t="s">
        <v>32</v>
      </c>
      <c r="B24" s="5">
        <v>0</v>
      </c>
      <c r="C24" s="4"/>
      <c r="D24" t="s">
        <v>29</v>
      </c>
    </row>
    <row r="25" spans="1:4">
      <c r="A25" s="6" t="s">
        <v>33</v>
      </c>
      <c r="B25" s="5">
        <v>0</v>
      </c>
      <c r="C25" s="4"/>
      <c r="D25" t="s">
        <v>29</v>
      </c>
    </row>
    <row r="26" spans="1:4">
      <c r="A26" s="6" t="s">
        <v>34</v>
      </c>
      <c r="B26" s="5">
        <v>0</v>
      </c>
      <c r="C26" s="4"/>
      <c r="D26" t="s">
        <v>29</v>
      </c>
    </row>
    <row r="27" spans="1:4">
      <c r="A27" s="6" t="s">
        <v>35</v>
      </c>
      <c r="B27" s="5">
        <v>0</v>
      </c>
      <c r="C27" s="4"/>
      <c r="D27" t="s">
        <v>29</v>
      </c>
    </row>
    <row r="28" spans="1:4">
      <c r="A28" s="6" t="s">
        <v>36</v>
      </c>
      <c r="B28" s="5">
        <v>0</v>
      </c>
      <c r="C28" s="4"/>
      <c r="D28" t="s">
        <v>29</v>
      </c>
    </row>
    <row r="29" spans="1:4">
      <c r="A29" s="6" t="s">
        <v>37</v>
      </c>
      <c r="B29" s="5">
        <v>0</v>
      </c>
      <c r="C29" s="4"/>
      <c r="D29" t="s">
        <v>29</v>
      </c>
    </row>
    <row r="30" spans="1:4">
      <c r="A30" s="6" t="s">
        <v>38</v>
      </c>
      <c r="B30" s="5">
        <v>0</v>
      </c>
      <c r="C30" s="4"/>
      <c r="D30" t="s">
        <v>29</v>
      </c>
    </row>
    <row r="31" spans="1:4">
      <c r="A31" s="6" t="s">
        <v>39</v>
      </c>
      <c r="B31" s="5">
        <v>0</v>
      </c>
      <c r="C31" s="4"/>
      <c r="D31" t="s">
        <v>29</v>
      </c>
    </row>
    <row r="32" spans="1:4">
      <c r="A32" s="6" t="s">
        <v>40</v>
      </c>
      <c r="B32" s="5">
        <v>0</v>
      </c>
      <c r="C32" s="4"/>
      <c r="D32" t="s">
        <v>29</v>
      </c>
    </row>
  </sheetData>
  <mergeCells count="3">
    <mergeCell ref="A2:D3"/>
    <mergeCell ref="F2:H2"/>
    <mergeCell ref="A18:D19"/>
  </mergeCells>
  <dataValidations count="13">
    <dataValidation type="decimal" operator="greaterThanOrEqual" allowBlank="1" showInputMessage="1" showErrorMessage="1" sqref="G3">
      <formula1>0</formula1>
    </dataValidation>
    <dataValidation type="list" allowBlank="1" showInputMessage="1" showErrorMessage="1" sqref="B5">
      <formula1>DNWerte</formula1>
    </dataValidation>
    <dataValidation type="decimal" operator="greaterThan" allowBlank="1" showInputMessage="1" showErrorMessage="1" sqref="B6">
      <formula1>0</formula1>
    </dataValidation>
    <dataValidation type="decimal" operator="greaterThan" allowBlank="1" showInputMessage="1" showErrorMessage="1" sqref="B10">
      <formula1>0</formula1>
    </dataValidation>
    <dataValidation type="decimal" operator="greaterThan" allowBlank="1" showInputMessage="1" showErrorMessage="1" sqref="B11">
      <formula1>0</formula1>
    </dataValidation>
    <dataValidation type="decimal" operator="greaterThanOrEqual" allowBlank="1" showInputMessage="1" showErrorMessage="1" sqref="B7">
      <formula1>0</formula1>
    </dataValidation>
    <dataValidation type="decimal" operator="greaterThanOrEqual" allowBlank="1" showInputMessage="1" showErrorMessage="1" sqref="B8">
      <formula1>0</formula1>
    </dataValidation>
    <dataValidation type="decimal" operator="greaterThanOrEqual" allowBlank="1" showInputMessage="1" showErrorMessage="1" sqref="B13">
      <formula1>0</formula1>
    </dataValidation>
    <dataValidation type="decimal" operator="greaterThanOrEqual" allowBlank="1" showInputMessage="1" showErrorMessage="1" sqref="B14">
      <formula1>0</formula1>
    </dataValidation>
    <dataValidation type="whole" allowBlank="1" showInputMessage="1" showErrorMessage="1" sqref="B15">
      <formula1>2</formula1>
      <formula2>10000</formula2>
    </dataValidation>
    <dataValidation type="list" allowBlank="1" showInputMessage="1" showErrorMessage="1" sqref="A21:A32">
      <formula1>ArmaturenTypen</formula1>
    </dataValidation>
    <dataValidation type="whole" allowBlank="1" showInputMessage="1" showErrorMessage="1" sqref="B21:B32">
      <formula1>0</formula1>
      <formula2>100000</formula2>
    </dataValidation>
    <dataValidation type="decimal" operator="greaterThanOrEqual" allowBlank="1" showInputMessage="1" showErrorMessage="1" sqref="C21:C32">
      <formula1>0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9" width="17.7109375" style="7" customWidth="1"/>
    <col min="10" max="10" width="16.7109375" customWidth="1"/>
    <col min="11" max="11" width="85.7109375" customWidth="1"/>
    <col min="12" max="12" width="22.7109375" style="7" customWidth="1"/>
  </cols>
  <sheetData>
    <row r="1" spans="1:12">
      <c r="A1" s="1" t="s">
        <v>61</v>
      </c>
    </row>
    <row r="2" spans="1:12">
      <c r="A2" s="2" t="s">
        <v>62</v>
      </c>
    </row>
    <row r="3" spans="1:12">
      <c r="A3" s="2" t="s">
        <v>63</v>
      </c>
    </row>
    <row r="4" spans="1:12" ht="32" customHeight="1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  <c r="L4" s="3" t="s">
        <v>75</v>
      </c>
    </row>
  </sheetData>
  <conditionalFormatting sqref="J5:J10004">
    <cfRule type="containsText" dxfId="3" priority="1" operator="containsText" text="Uebergang">
      <formula>NOT(ISERROR(SEARCH("Uebergang",J5)))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2"/>
  <sheetViews>
    <sheetView workbookViewId="0"/>
  </sheetViews>
  <sheetFormatPr defaultRowHeight="15"/>
  <cols>
    <col min="1" max="1" width="42.7109375" customWidth="1"/>
    <col min="2" max="2" width="14.7109375" customWidth="1"/>
    <col min="3" max="4" width="65.7109375" customWidth="1"/>
    <col min="6" max="7" width="16.7109375" customWidth="1"/>
  </cols>
  <sheetData>
    <row r="1" spans="1:7">
      <c r="A1" s="1" t="s">
        <v>41</v>
      </c>
    </row>
    <row r="2" spans="1:7">
      <c r="A2" s="2" t="s">
        <v>42</v>
      </c>
      <c r="B2" s="2"/>
      <c r="C2" s="2"/>
      <c r="D2" s="2"/>
    </row>
    <row r="3" spans="1:7">
      <c r="A3" s="2"/>
      <c r="B3" s="2"/>
      <c r="C3" s="2"/>
      <c r="D3" s="2"/>
    </row>
    <row r="4" spans="1:7">
      <c r="A4" t="s">
        <v>43</v>
      </c>
      <c r="B4" t="s">
        <v>44</v>
      </c>
      <c r="C4" t="s">
        <v>45</v>
      </c>
      <c r="D4" t="s">
        <v>46</v>
      </c>
      <c r="F4" s="3" t="s">
        <v>59</v>
      </c>
      <c r="G4" s="3" t="s">
        <v>60</v>
      </c>
    </row>
    <row r="5" spans="1:7">
      <c r="A5" t="s">
        <v>28</v>
      </c>
      <c r="B5">
        <v>0.9</v>
      </c>
      <c r="C5" t="s">
        <v>47</v>
      </c>
      <c r="D5" t="s">
        <v>48</v>
      </c>
      <c r="F5">
        <v>10</v>
      </c>
      <c r="G5">
        <v>13.6</v>
      </c>
    </row>
    <row r="6" spans="1:7">
      <c r="A6" t="s">
        <v>30</v>
      </c>
      <c r="B6">
        <v>0.4</v>
      </c>
      <c r="C6" t="s">
        <v>47</v>
      </c>
      <c r="D6" t="s">
        <v>48</v>
      </c>
      <c r="F6">
        <v>15</v>
      </c>
      <c r="G6">
        <v>17.3</v>
      </c>
    </row>
    <row r="7" spans="1:7">
      <c r="A7" t="s">
        <v>31</v>
      </c>
      <c r="B7">
        <v>0.6</v>
      </c>
      <c r="C7" t="s">
        <v>49</v>
      </c>
      <c r="D7" t="s">
        <v>48</v>
      </c>
      <c r="F7">
        <v>20</v>
      </c>
      <c r="G7">
        <v>22.3</v>
      </c>
    </row>
    <row r="8" spans="1:7">
      <c r="A8" t="s">
        <v>32</v>
      </c>
      <c r="B8">
        <v>1.8</v>
      </c>
      <c r="C8" t="s">
        <v>50</v>
      </c>
      <c r="D8" t="s">
        <v>48</v>
      </c>
      <c r="F8">
        <v>25</v>
      </c>
      <c r="G8">
        <v>28.5</v>
      </c>
    </row>
    <row r="9" spans="1:7">
      <c r="A9" t="s">
        <v>33</v>
      </c>
      <c r="B9">
        <v>0.05</v>
      </c>
      <c r="C9" t="s">
        <v>51</v>
      </c>
      <c r="D9" t="s">
        <v>48</v>
      </c>
      <c r="F9">
        <v>32</v>
      </c>
      <c r="G9">
        <v>37.2</v>
      </c>
    </row>
    <row r="10" spans="1:7">
      <c r="A10" t="s">
        <v>34</v>
      </c>
      <c r="B10">
        <v>0.15</v>
      </c>
      <c r="C10" t="s">
        <v>52</v>
      </c>
      <c r="D10" t="s">
        <v>48</v>
      </c>
      <c r="F10">
        <v>40</v>
      </c>
      <c r="G10">
        <v>43.1</v>
      </c>
    </row>
    <row r="11" spans="1:7">
      <c r="A11" t="s">
        <v>35</v>
      </c>
      <c r="B11">
        <v>10</v>
      </c>
      <c r="C11" t="s">
        <v>53</v>
      </c>
      <c r="D11" t="s">
        <v>48</v>
      </c>
      <c r="F11">
        <v>50</v>
      </c>
      <c r="G11">
        <v>54.5</v>
      </c>
    </row>
    <row r="12" spans="1:7">
      <c r="A12" t="s">
        <v>36</v>
      </c>
      <c r="B12">
        <v>2</v>
      </c>
      <c r="C12" t="s">
        <v>54</v>
      </c>
      <c r="D12" t="s">
        <v>48</v>
      </c>
      <c r="F12">
        <v>65</v>
      </c>
      <c r="G12">
        <v>70.3</v>
      </c>
    </row>
    <row r="13" spans="1:7">
      <c r="A13" t="s">
        <v>37</v>
      </c>
      <c r="B13">
        <v>2</v>
      </c>
      <c r="C13" t="s">
        <v>55</v>
      </c>
      <c r="D13" t="s">
        <v>48</v>
      </c>
      <c r="F13">
        <v>80</v>
      </c>
      <c r="G13">
        <v>82.5</v>
      </c>
    </row>
    <row r="14" spans="1:7">
      <c r="A14" t="s">
        <v>38</v>
      </c>
      <c r="B14">
        <v>0.5</v>
      </c>
      <c r="C14" t="s">
        <v>56</v>
      </c>
      <c r="D14" t="s">
        <v>48</v>
      </c>
      <c r="F14">
        <v>100</v>
      </c>
      <c r="G14">
        <v>107.1</v>
      </c>
    </row>
    <row r="15" spans="1:7">
      <c r="A15" t="s">
        <v>39</v>
      </c>
      <c r="B15">
        <v>1</v>
      </c>
      <c r="C15" t="s">
        <v>57</v>
      </c>
      <c r="D15" t="s">
        <v>48</v>
      </c>
      <c r="F15">
        <v>125</v>
      </c>
      <c r="G15">
        <v>131.7</v>
      </c>
    </row>
    <row r="16" spans="1:7">
      <c r="A16" t="s">
        <v>40</v>
      </c>
      <c r="B16">
        <v>0</v>
      </c>
      <c r="C16" t="s">
        <v>58</v>
      </c>
      <c r="D16" t="s">
        <v>48</v>
      </c>
      <c r="F16">
        <v>150</v>
      </c>
      <c r="G16">
        <v>159.3</v>
      </c>
    </row>
    <row r="17" spans="6:7">
      <c r="F17">
        <v>200</v>
      </c>
      <c r="G17">
        <v>210.1</v>
      </c>
    </row>
    <row r="18" spans="6:7">
      <c r="F18">
        <v>250</v>
      </c>
      <c r="G18">
        <v>263</v>
      </c>
    </row>
    <row r="19" spans="6:7">
      <c r="F19">
        <v>300</v>
      </c>
      <c r="G19">
        <v>312.7</v>
      </c>
    </row>
    <row r="20" spans="6:7">
      <c r="F20">
        <v>350</v>
      </c>
      <c r="G20">
        <v>344.4</v>
      </c>
    </row>
    <row r="21" spans="6:7">
      <c r="F21">
        <v>400</v>
      </c>
      <c r="G21">
        <v>393.8</v>
      </c>
    </row>
    <row r="22" spans="6:7">
      <c r="F22">
        <v>500</v>
      </c>
      <c r="G22">
        <v>493</v>
      </c>
    </row>
  </sheetData>
  <mergeCells count="1">
    <mergeCell ref="A2:D3"/>
  </mergeCells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1" width="42.7109375" customWidth="1"/>
    <col min="2" max="6" width="20.7109375" customWidth="1"/>
  </cols>
  <sheetData>
    <row r="1" spans="1:6">
      <c r="A1" s="1" t="s">
        <v>76</v>
      </c>
    </row>
    <row r="2" spans="1:6">
      <c r="A2" s="2" t="s">
        <v>77</v>
      </c>
      <c r="B2" s="2"/>
      <c r="C2" s="2"/>
      <c r="D2" s="2"/>
      <c r="E2" s="2"/>
      <c r="F2" s="2"/>
    </row>
    <row r="3" spans="1:6">
      <c r="A3" s="2"/>
      <c r="B3" s="2"/>
      <c r="C3" s="2"/>
      <c r="D3" s="2"/>
      <c r="E3" s="2"/>
      <c r="F3" s="2"/>
    </row>
    <row r="5" spans="1:6">
      <c r="A5" t="s">
        <v>78</v>
      </c>
      <c r="B5" s="5">
        <v>0</v>
      </c>
      <c r="C5" t="s">
        <v>3</v>
      </c>
    </row>
    <row r="6" spans="1:6">
      <c r="A6" t="s">
        <v>79</v>
      </c>
      <c r="B6" s="5">
        <v>50</v>
      </c>
      <c r="C6" t="s">
        <v>3</v>
      </c>
    </row>
    <row r="7" spans="1:6">
      <c r="A7" t="s">
        <v>80</v>
      </c>
      <c r="B7" s="4">
        <v>54.5</v>
      </c>
      <c r="C7" t="s">
        <v>5</v>
      </c>
    </row>
    <row r="8" spans="1:6">
      <c r="A8" t="s">
        <v>81</v>
      </c>
      <c r="B8" s="4">
        <v>25</v>
      </c>
      <c r="C8" t="s">
        <v>5</v>
      </c>
    </row>
    <row r="9" spans="1:6">
      <c r="A9" t="s">
        <v>82</v>
      </c>
      <c r="B9" s="4">
        <v>0.61</v>
      </c>
      <c r="C9" t="s">
        <v>3</v>
      </c>
    </row>
    <row r="10" spans="1:6">
      <c r="A10" t="s">
        <v>83</v>
      </c>
      <c r="B10" s="5">
        <v>1</v>
      </c>
      <c r="C10" t="s">
        <v>3</v>
      </c>
    </row>
    <row r="12" spans="1:6">
      <c r="A12" s="2" t="s">
        <v>84</v>
      </c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7" spans="1:2">
      <c r="A17" t="s">
        <v>85</v>
      </c>
      <c r="B17" s="7">
        <f>IFERROR(B8/B7,"")</f>
        <v>0.45871559633027525</v>
      </c>
    </row>
  </sheetData>
  <mergeCells count="2">
    <mergeCell ref="A2:F3"/>
    <mergeCell ref="A12:F15"/>
  </mergeCells>
  <dataValidations count="6">
    <dataValidation type="whole" allowBlank="1" showInputMessage="1" showErrorMessage="1" sqref="B5">
      <formula1>0</formula1>
      <formula2>1</formula2>
    </dataValidation>
    <dataValidation type="list" allowBlank="1" showInputMessage="1" showErrorMessage="1" sqref="B6">
      <formula1>DNWerte</formula1>
    </dataValidation>
    <dataValidation type="decimal" operator="greaterThan" allowBlank="1" showInputMessage="1" showErrorMessage="1" sqref="B7">
      <formula1>0</formula1>
    </dataValidation>
    <dataValidation type="decimal" operator="greaterThan" allowBlank="1" showInputMessage="1" showErrorMessage="1" sqref="B8">
      <formula1>0</formula1>
    </dataValidation>
    <dataValidation type="decimal" allowBlank="1" showInputMessage="1" showErrorMessage="1" sqref="B9">
      <formula1>1e-06</formula1>
      <formula2>0.999999</formula2>
    </dataValidation>
    <dataValidation type="whole" allowBlank="1" showInputMessage="1" showErrorMessage="1" sqref="B10">
      <formula1>1</formula1>
      <formula2>1000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26"/>
  <sheetViews>
    <sheetView workbookViewId="0"/>
  </sheetViews>
  <sheetFormatPr defaultRowHeight="15"/>
  <cols>
    <col min="1" max="3" width="23.7109375" customWidth="1"/>
    <col min="5" max="12" width="13.7109375" customWidth="1"/>
    <col min="14" max="15" width="22.7109375" style="7" customWidth="1"/>
  </cols>
  <sheetData>
    <row r="1" spans="1:15">
      <c r="A1" s="1" t="s">
        <v>86</v>
      </c>
    </row>
    <row r="3" spans="1:15">
      <c r="A3" s="2" t="s">
        <v>87</v>
      </c>
    </row>
    <row r="4" spans="1:15">
      <c r="N4" s="3" t="s">
        <v>93</v>
      </c>
      <c r="O4" s="3" t="s">
        <v>94</v>
      </c>
    </row>
    <row r="5" spans="1:15">
      <c r="A5" s="2" t="s">
        <v>88</v>
      </c>
      <c r="B5" s="2"/>
      <c r="C5" s="2"/>
      <c r="D5" s="2"/>
      <c r="E5" s="2"/>
      <c r="F5" s="2"/>
    </row>
    <row r="6" spans="1:15">
      <c r="A6" s="2"/>
      <c r="B6" s="2"/>
      <c r="C6" s="2"/>
      <c r="D6" s="2"/>
      <c r="E6" s="2"/>
      <c r="F6" s="2"/>
    </row>
    <row r="7" spans="1:15">
      <c r="A7" s="2"/>
      <c r="B7" s="2"/>
      <c r="C7" s="2"/>
      <c r="D7" s="2"/>
      <c r="E7" s="2"/>
      <c r="F7" s="2"/>
    </row>
    <row r="8" spans="1:15">
      <c r="A8" s="2"/>
      <c r="B8" s="2"/>
      <c r="C8" s="2"/>
      <c r="D8" s="2"/>
      <c r="E8" s="2"/>
      <c r="F8" s="2"/>
    </row>
    <row r="10" spans="1:15">
      <c r="A10" s="2" t="s">
        <v>89</v>
      </c>
      <c r="B10" s="2"/>
      <c r="C10" s="2"/>
      <c r="D10" s="2"/>
      <c r="E10" s="2"/>
      <c r="F10" s="2"/>
    </row>
    <row r="11" spans="1:15">
      <c r="A11" s="2"/>
      <c r="B11" s="2"/>
      <c r="C11" s="2"/>
      <c r="D11" s="2"/>
      <c r="E11" s="2"/>
      <c r="F11" s="2"/>
    </row>
    <row r="12" spans="1:15">
      <c r="A12" s="2"/>
      <c r="B12" s="2"/>
      <c r="C12" s="2"/>
      <c r="D12" s="2"/>
      <c r="E12" s="2"/>
      <c r="F12" s="2"/>
    </row>
    <row r="20" spans="1:3">
      <c r="A20" t="s">
        <v>90</v>
      </c>
      <c r="B20" t="s">
        <v>91</v>
      </c>
      <c r="C20" t="s">
        <v>92</v>
      </c>
    </row>
    <row r="21" spans="1:3">
      <c r="A21" s="4">
        <v>0</v>
      </c>
      <c r="B21" s="4">
        <v>40</v>
      </c>
      <c r="C21" s="7"/>
    </row>
    <row r="22" spans="1:3">
      <c r="A22" s="4">
        <v>10</v>
      </c>
      <c r="B22" s="4">
        <v>38</v>
      </c>
      <c r="C22" s="7"/>
    </row>
    <row r="23" spans="1:3">
      <c r="A23" s="4">
        <v>20</v>
      </c>
      <c r="B23" s="4">
        <v>32</v>
      </c>
      <c r="C23" s="7"/>
    </row>
    <row r="24" spans="1:3">
      <c r="A24" s="4">
        <v>30</v>
      </c>
      <c r="B24" s="4">
        <v>23</v>
      </c>
      <c r="C24" s="7"/>
    </row>
    <row r="25" spans="1:3">
      <c r="A25" s="4">
        <v>40</v>
      </c>
      <c r="B25" s="4">
        <v>12</v>
      </c>
      <c r="C25" s="7"/>
    </row>
    <row r="26" spans="1:3">
      <c r="A26" s="4">
        <v>50</v>
      </c>
      <c r="B26" s="4">
        <v>0</v>
      </c>
      <c r="C26" s="7"/>
    </row>
  </sheetData>
  <mergeCells count="2">
    <mergeCell ref="A5:F8"/>
    <mergeCell ref="A10:F12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10"/>
  <sheetViews>
    <sheetView workbookViewId="0"/>
  </sheetViews>
  <sheetFormatPr defaultRowHeight="15"/>
  <cols>
    <col min="1" max="9" width="17.7109375" style="7" customWidth="1"/>
    <col min="10" max="10" width="16.7109375" customWidth="1"/>
    <col min="11" max="11" width="85.7109375" customWidth="1"/>
    <col min="12" max="12" width="22.7109375" style="7" customWidth="1"/>
    <col min="14" max="15" width="23.7109375" style="7" customWidth="1"/>
  </cols>
  <sheetData>
    <row r="1" spans="1:12">
      <c r="A1" s="1" t="s">
        <v>95</v>
      </c>
    </row>
    <row r="2" spans="1:12">
      <c r="A2" s="2" t="s">
        <v>96</v>
      </c>
    </row>
    <row r="3" spans="1:12">
      <c r="A3" s="2" t="s">
        <v>97</v>
      </c>
    </row>
    <row r="4" spans="1:12" ht="32" customHeight="1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  <c r="L4" s="3" t="s">
        <v>75</v>
      </c>
    </row>
    <row r="8" spans="1:12">
      <c r="A8" s="1" t="s">
        <v>98</v>
      </c>
    </row>
    <row r="9" spans="1:12">
      <c r="A9" s="2" t="s">
        <v>99</v>
      </c>
    </row>
    <row r="10" spans="1:12" ht="32" customHeight="1">
      <c r="A10" s="3" t="s">
        <v>64</v>
      </c>
      <c r="B10" s="3" t="s">
        <v>65</v>
      </c>
      <c r="C10" s="3" t="s">
        <v>66</v>
      </c>
      <c r="D10" s="3" t="s">
        <v>67</v>
      </c>
      <c r="E10" s="3" t="s">
        <v>68</v>
      </c>
      <c r="F10" s="3" t="s">
        <v>69</v>
      </c>
      <c r="G10" s="3" t="s">
        <v>70</v>
      </c>
      <c r="H10" s="3" t="s">
        <v>71</v>
      </c>
      <c r="I10" s="3" t="s">
        <v>72</v>
      </c>
      <c r="J10" s="3" t="s">
        <v>73</v>
      </c>
      <c r="K10" s="3" t="s">
        <v>74</v>
      </c>
      <c r="L10" s="3" t="s">
        <v>75</v>
      </c>
    </row>
  </sheetData>
  <conditionalFormatting sqref="J5:J11">
    <cfRule type="containsText" dxfId="3" priority="1" operator="containsText" text="Uebergang">
      <formula>NOT(ISERROR(SEARCH("Uebergang",J5)))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Eingabe</vt:lpstr>
      <vt:lpstr>Ergebnisse</vt:lpstr>
      <vt:lpstr>Armaturendatenbank</vt:lpstr>
      <vt:lpstr>Lochblende</vt:lpstr>
      <vt:lpstr>Pumpe</vt:lpstr>
      <vt:lpstr>Betriebspunkte</vt:lpstr>
      <vt:lpstr>ArmaturenTypen</vt:lpstr>
      <vt:lpstr>DNWerte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Rohrleitungs-Systemkennlinie</dc:title>
  <dc:creator/>
  <dc:description>VBA-Module importieren und als XLSM speichern; README beachten.</dc:description>
  <cp:lastModifiedBy/>
  <dcterms:created xsi:type="dcterms:W3CDTF">2026-10-25T16:22:12Z</dcterms:created>
  <dcterms:modified xsi:type="dcterms:W3CDTF">2026-10-25T16:22:12Z</dcterms:modified>
</cp:coreProperties>
</file>