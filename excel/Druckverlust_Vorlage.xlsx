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ngabe" sheetId="1" r:id="rId1"/>
    <sheet name="Ergebnisse" sheetId="2" r:id="rId2"/>
    <sheet name="Armaturendatenbank" sheetId="3" r:id="rId3"/>
    <sheet name="Lochblende" sheetId="4" r:id="rId4"/>
    <sheet name="Pumpe" sheetId="5" r:id="rId5"/>
    <sheet name="Betriebspunkte" sheetId="6" r:id="rId6"/>
    <sheet name="KvArmatur" sheetId="7" r:id="rId7"/>
    <sheet name="Blende_Standalone" sheetId="8" r:id="rId8"/>
    <sheet name="Systembericht" sheetId="9" r:id="rId9"/>
    <sheet name="Kv_Standalone" sheetId="10" r:id="rId10"/>
  </sheets>
  <definedNames>
    <definedName name="ArmaturenTypen">'Armaturendatenbank'!$A$5:$A$16</definedName>
    <definedName name="DNWerte">'Armaturendatenbank'!$F$5:$F$22</definedName>
    <definedName name="_xlnm.Print_Area" localSheetId="7">Blende_Standalone!$A$1:$H$48</definedName>
    <definedName name="_xlnm.Print_Area" localSheetId="9">Kv_Standalone!$A$1:$H$48</definedName>
    <definedName name="_xlnm.Print_Area" localSheetId="8">Systembericht!$A$1:$H$44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6" authorId="0">
      <text>
        <r>
          <rPr>
            <sz val="8"/>
            <color indexed="81"/>
            <rFont val="Tahoma"/>
            <family val="2"/>
          </rPr>
          <t>DN-Vorschlag ist keine normative Rohrabmessung. Tatsaechlichen Innendurchmesser anhand Rohrdaten verifizieren.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5" authorId="0">
      <text>
        <r>
          <rPr>
            <sz val="8"/>
            <color indexed="81"/>
            <rFont val="Tahoma"/>
            <family val="2"/>
          </rPr>
          <t>Illustrative Innendurchmesser einer Stahlrohrreihe; keine verbindliche Normzuordnung. Manuell verifizieren.</t>
        </r>
      </text>
    </comment>
  </commentList>
</comments>
</file>

<file path=xl/sharedStrings.xml><?xml version="1.0" encoding="utf-8"?>
<sst xmlns="http://schemas.openxmlformats.org/spreadsheetml/2006/main" count="289" uniqueCount="175">
  <si>
    <t>Rohrleitungs-Systemkennlinie</t>
  </si>
  <si>
    <t>Blaue Zellen: Eingaben. Vor Verwendung VBA importieren, als XLSM speichern und Einrichtung ausfuehren. Nach jeder Aenderung neu berechnen. DN ist nur eine Auswahlhilfe.</t>
  </si>
  <si>
    <t>Rohrnennweite DN</t>
  </si>
  <si>
    <t>—</t>
  </si>
  <si>
    <t>Tatsaechlicher Innendurchmesser</t>
  </si>
  <si>
    <t>mm</t>
  </si>
  <si>
    <t>Rohrlaenge</t>
  </si>
  <si>
    <t>m</t>
  </si>
  <si>
    <t>Absolute Rauigkeit</t>
  </si>
  <si>
    <t>Hoehe Austritt minus Eintritt</t>
  </si>
  <si>
    <t>Dichte</t>
  </si>
  <si>
    <t>kg/m³</t>
  </si>
  <si>
    <t>Dynamische Viskositaet</t>
  </si>
  <si>
    <t>mPa·s</t>
  </si>
  <si>
    <t>Temperatur (optional)</t>
  </si>
  <si>
    <t>°C</t>
  </si>
  <si>
    <t>Minimaler Volumenstrom</t>
  </si>
  <si>
    <t>m³/h</t>
  </si>
  <si>
    <t>Maximaler Volumenstrom</t>
  </si>
  <si>
    <t>Berechnungspunkte</t>
  </si>
  <si>
    <t>Druck Ziel minus Quelle</t>
  </si>
  <si>
    <t>bar</t>
  </si>
  <si>
    <t>Einzelpunkt Q [m³/h]</t>
  </si>
  <si>
    <t>Zeta leer = aktueller Datenbankwert; Zahl = manuelle Ueberschreibung. Anzahl 0 deaktiviert die Zeile. Neue Zeilen per Schaltflaeche. Alle Standardwerte sind Naeherungswerte und auf die lokale Rohrgeschwindigkeit bezogen.</t>
  </si>
  <si>
    <t>Armaturentyp</t>
  </si>
  <si>
    <t>Anzahl</t>
  </si>
  <si>
    <t>Zeta manuell</t>
  </si>
  <si>
    <t>Hinweis</t>
  </si>
  <si>
    <t>90°-Rohrbogen</t>
  </si>
  <si>
    <t>Leer = Datenbank; ueberschreibbar</t>
  </si>
  <si>
    <t>45°-Rohrbogen</t>
  </si>
  <si>
    <t>T-Stück, gerader Durchgang</t>
  </si>
  <si>
    <t>T-Stück, Abzweig</t>
  </si>
  <si>
    <t>Kugelhahn, vollständig geöffnet</t>
  </si>
  <si>
    <t>Absperrschieber, vollständig geöffnet</t>
  </si>
  <si>
    <t>Sitzventil</t>
  </si>
  <si>
    <t>Rückschlagventil</t>
  </si>
  <si>
    <t>Schmutzfänger</t>
  </si>
  <si>
    <t>Rohreintritt</t>
  </si>
  <si>
    <t>Rohraustritt</t>
  </si>
  <si>
    <t>Frei definierbarer Einzelwiderstand</t>
  </si>
  <si>
    <t>Armaturen und DN-Vorschlaege</t>
  </si>
  <si>
    <t>Illustrative Richtwerte, keine Herstellerkennwerte. Fuer Auslegung Bauform, Oeffnung, Reynolds-Zahl und Datenqualitaet pruefen. Quellen und Modellgrenzen siehe docs/Modell.md.</t>
  </si>
  <si>
    <t>Typ</t>
  </si>
  <si>
    <t>Zeta</t>
  </si>
  <si>
    <t>Bedingungen</t>
  </si>
  <si>
    <t>Quelle / Datenqualitaet</t>
  </si>
  <si>
    <t>Standardradius; stark von R/D abhaengig</t>
  </si>
  <si>
    <t>Illustrativer Richtwert; Vergleich: Crane TP-410 / Idelchik, keine editionsgenaue Tabellenuebernahme</t>
  </si>
  <si>
    <t>Gleiche Durchmesser; Durchflussaufteilung beachten</t>
  </si>
  <si>
    <t>90 Grad Abzweig; Durchflussaufteilung beachten</t>
  </si>
  <si>
    <t>Voller Durchgang, nur voll geoeffnet</t>
  </si>
  <si>
    <t>Nur voll geoeffnet</t>
  </si>
  <si>
    <t>Konventionelle Bauform, voll geoeffnet</t>
  </si>
  <si>
    <t>Illustrativer Klappentyp; Herstellerdaten erforderlich</t>
  </si>
  <si>
    <t>Sauber; Siebgeometrie und Verschmutzung beachten</t>
  </si>
  <si>
    <t>Scharfkantiger Eintritt aus grossem Behaelter</t>
  </si>
  <si>
    <t>Austritt in grossen Behaelter, kinetische Energie dissipiert</t>
  </si>
  <si>
    <t>Benutzer muss projektspezifischen Wert setzen</t>
  </si>
  <si>
    <t>DN</t>
  </si>
  <si>
    <t>Di Vorschlag mm</t>
  </si>
  <si>
    <t>Ergebnisse und Systemkennlinie</t>
  </si>
  <si>
    <t>NOCH NICHT BERECHNET – VBA importieren und Berechnung starten.</t>
  </si>
  <si>
    <t>Nach Aenderungen neu berechnen. Tabelleninhalt gilt nur fuer den letzten erfolgreichen Lauf.</t>
  </si>
  <si>
    <t>Q [m³/h]</t>
  </si>
  <si>
    <t>v [m/s]</t>
  </si>
  <si>
    <t>Re [-]</t>
  </si>
  <si>
    <t>Darcy λ [-]</t>
  </si>
  <si>
    <t>Rohr [bar]</t>
  </si>
  <si>
    <t>Armaturen [bar]</t>
  </si>
  <si>
    <t>Geodaetisch [bar]</t>
  </si>
  <si>
    <t>Behaelter [bar]</t>
  </si>
  <si>
    <t>Gesamt [bar]</t>
  </si>
  <si>
    <t>Regime</t>
  </si>
  <si>
    <t>Warnung</t>
  </si>
  <si>
    <t>davon Blende [bar]</t>
  </si>
  <si>
    <t>davon Kv [bar]</t>
  </si>
  <si>
    <t>Lochblende | bleibender Druckverlust</t>
  </si>
  <si>
    <t>Scharfkantige, duenne, konzentrische Blende. Cd ist eine Annahme; keine ISO-5167-Messauslegung. Rohr-Di und Lochdurchmesser manuell pruefen. Aktiv=0 deaktiviert die Blende.</t>
  </si>
  <si>
    <t>Aktiv (0=aus, 1=ein)</t>
  </si>
  <si>
    <t>Blenden-Nennweite DN</t>
  </si>
  <si>
    <t>Tatsaechlicher Rohr-Di an Blende</t>
  </si>
  <si>
    <t>Lochdurchmesser d</t>
  </si>
  <si>
    <t>Durchflussbeiwert Cd</t>
  </si>
  <si>
    <t>Anzahl gleicher Blenden</t>
  </si>
  <si>
    <t>Modellbereich: 0,2 &lt;= d/Di &lt;= 0,75. Cd=0,61 ist ein illustrativer Startwert. Unter Re=10000 erscheint eine Unsicherheitswarnung. DN-Vorschlag ueber Schaltflaeche auf Eingabe uebernehmen; der tatsaechliche Di bleibt aenderbar. Bei abweichender Rohrweite sind Reduzierverluste separat zu ergaenzen.</t>
  </si>
  <si>
    <t>Durchmesserverhaeltnis beta</t>
  </si>
  <si>
    <t>Pumpenkennlinie und Betriebspunkt</t>
  </si>
  <si>
    <t>NOCH NICHT BERECHNET</t>
  </si>
  <si>
    <t>BEISPIELWERTE ersetzen: Q streng steigend, Foerderhoehe H streng fallend. 2 bis 1000 Tabellenzeilen; keine Leerzeilen. H in Metern der gefoerderten Fluessigkeit. Berechnung ueber Pumpenbetriebspunkt auf Eingabe. Keine Extrapolation ausserhalb der eingegebenen Kennlinie.</t>
  </si>
  <si>
    <t>Pumpendruck in Spalte C wird beim Berechnen aus aktueller Dichte erzeugt. Nach jeder Aenderung erneut berechnen. Schnittpunkt und Verlustanteile stehen auf Betriebspunkte; das Diagramm erscheint rechts neben der Pumpentabelle.</t>
  </si>
  <si>
    <t>Q [m3/h]</t>
  </si>
  <si>
    <t>Foerderhoehe H [m]</t>
  </si>
  <si>
    <t>Pumpendruck [bar]</t>
  </si>
  <si>
    <t>System Q [m3/h]</t>
  </si>
  <si>
    <t>Systemdruck [bar]</t>
  </si>
  <si>
    <t>Einzelpunkt und Pumpenbetriebspunkt</t>
  </si>
  <si>
    <t>Nach Aenderungen jeden gewuenschten Berechnungsmodus neu starten. Blendenanteil ist in Armaturen enthalten.</t>
  </si>
  <si>
    <t>Einzelpunkt: NOCH NICHT BERECHNET</t>
  </si>
  <si>
    <t>Schnittpunkt Pumpe / System</t>
  </si>
  <si>
    <t>Pumpenschnittpunkt: NOCH NICHT BERECHNET</t>
  </si>
  <si>
    <t>Armatur mit Kv-Wert</t>
  </si>
  <si>
    <t>Kv in m³/h: Wasser mit Referenzdichte 1000 kg/m³ bei 1 bar. Aktuellen Kv fuer die festgelegte Oeffnung verwenden, nicht ungeprueft Kvs.</t>
  </si>
  <si>
    <t>Kv der Armatur</t>
  </si>
  <si>
    <t>Anzahl gleicher Armaturen in Serie</t>
  </si>
  <si>
    <t>Delta p [bar] = n (rho/1000) (Q/Kv)^2. Gilt als Naeherung fuer turbulente, nicht kavitierende Fluessigkeitsstroemung bei konstanter Oeffnung. Keine Viskositaets-, FL-, Kavitation- oder Choked-Flow-Korrektur. Herstellergrenzen pruefen. Der Anteil wird den Einzelwiderstaenden zugerechnet und in Spalte M separat ausgewiesen.</t>
  </si>
  <si>
    <t>Drosselblende | Berechnungsblatt</t>
  </si>
  <si>
    <t>Projekt</t>
  </si>
  <si>
    <t>Dokument</t>
  </si>
  <si>
    <t>Bearbeiter</t>
  </si>
  <si>
    <t>Revision</t>
  </si>
  <si>
    <t>EINGABEN | lokale, unabhaengige Berechnung</t>
  </si>
  <si>
    <t>Nennweite DN</t>
  </si>
  <si>
    <t>Tatsaechlicher Rohr-Di D</t>
  </si>
  <si>
    <t>Blendendurchmesser d</t>
  </si>
  <si>
    <t>Volumenstrom Q</t>
  </si>
  <si>
    <t>Dichte rho</t>
  </si>
  <si>
    <t>Dyn. Viskositaet mu</t>
  </si>
  <si>
    <t>Di-Vorschlag</t>
  </si>
  <si>
    <t>DN legt Di nicht fest. D manuell anhand Rohrnorm und Wandstaerke pruefen. Cd=0,61 ist nur ein Startwert.</t>
  </si>
  <si>
    <t>Eingaben gueltig (1=ja)</t>
  </si>
  <si>
    <t>Verhaeltnis beta</t>
  </si>
  <si>
    <t>Rohrgeschwindigkeit v</t>
  </si>
  <si>
    <t>m/s</t>
  </si>
  <si>
    <t>Rohr-Reynolds-Zahl</t>
  </si>
  <si>
    <t>Bleibender Verlustbeiwert zeta</t>
  </si>
  <si>
    <t>Messdifferenzdruck</t>
  </si>
  <si>
    <t>Bleibender Druckverlust</t>
  </si>
  <si>
    <t>Geschwindigkeit im Loch</t>
  </si>
  <si>
    <t>BERECHNUNGSFORMELN | SI im Rechenkern</t>
  </si>
  <si>
    <t>β = d/D; A = πD²/4; v = (Q/3600)/A; Re = ρvD/μ</t>
  </si>
  <si>
    <t>a = √[1 − β⁴(1 − Cd²)]</t>
  </si>
  <si>
    <t>ζbleibend = [a/(Cd β²) − 1]²</t>
  </si>
  <si>
    <t>ΔpMess = [(1 − β⁴)/(Cd² β⁴)] ρv²/2</t>
  </si>
  <si>
    <t>Δpbleibend = ζbleibend ρv²/2; Pa → bar: /100000</t>
  </si>
  <si>
    <t>D,d: mm → m (/1000); μ: mPa·s → Pa·s (/1000)</t>
  </si>
  <si>
    <t>ANNAHMEN UND GRENZEN</t>
  </si>
  <si>
    <t>Stationaere, einphasige inkompressible Newtonsche Fluessigkeit; konstante Stoffwerte. Duenne scharfkantige konzentrische Blende; 0,2 &lt;= d/D &lt;= 0,75; Cd konstant und vom Anwender zu bestaetigen. Messdifferenzdruck ist nicht bleibender Druckverlust. Druckrueckgewinnungsansatz im Zusammenhang mit ISO 5167-2; keine normgerechte Messstellenauslegung. Keine Pruefung von Kavitation, Flashing, Laerm, Erosion oder mechanischer Festigkeit. Temperatur ist nur dokumentiert.</t>
  </si>
  <si>
    <t>Blatt ohne VBA lauffaehig: Formeln werden in Excel automatisch neu berechnet. Alle Daten und die DN-Vorschlagstabelle liegen lokal auf diesem Blatt. Fuer eine Freigabe Stoffdaten, Cd und Modellgrenzen fachlich pruefen. Ausdruck/PDF: A4 Hochformat, eine Seite.</t>
  </si>
  <si>
    <t>Geprueft durch: ____________________    Datum: ______________    Freigabe: ______________</t>
  </si>
  <si>
    <t>Systemkennlinie | Engineering-Bericht</t>
  </si>
  <si>
    <t>Pumpe einschliessen (0/1)</t>
  </si>
  <si>
    <t>NOCH NICHT BERECHNET | SystemberichtErstellen ausfuehren</t>
  </si>
  <si>
    <t>Eingabestand wird beim Erstellen dokumentiert.</t>
  </si>
  <si>
    <t>Betriebspunkt / Hinweise werden beim Erstellen dokumentiert.</t>
  </si>
  <si>
    <t>WICHTIGSTE GLEICHUNGEN</t>
  </si>
  <si>
    <t>v = (Q/3600)/(πD²/4); Re = ρvD/μ; laminar: λ = 64/Re</t>
  </si>
  <si>
    <t>Colebrook: 1/√λ = −2 log10[ε/(3,7D) + 2,51/(Re√λ)]</t>
  </si>
  <si>
    <t>ΔpR = λ(L/D)ρv²/2; ΔpE = Σ(nζ)ρv²/2</t>
  </si>
  <si>
    <t>ΔpSystem = ΔpR + ΔpE + ρgΔh + ΔpBehaelter</t>
  </si>
  <si>
    <t>Kv: Δp [bar] = n (ρ/1000) (Q/Kv)²; Blende: ζ = [√(1−β⁴(1−Cd²))/(Cdβ²)−1]²</t>
  </si>
  <si>
    <t>Pumpe: ΔpP = ρgH(Q); Schnittpunkt: ΔpP − ΔpSystem = 0; Pa → bar: /100000</t>
  </si>
  <si>
    <t>Stationaer, inkompressibel, einphasig, Newtonsch; konstante Stoffwerte. Hauptrohr mit einheitlichem D. Re=2300–4000 unsicher (Maximum aus laminar/Colebrook). Zeta/Cd/Kv angenaehert, Herstellergrenzen pruefen. Kv: konstante Oeffnung, turbulent, nicht kavitierend. Pumpen-H streng fallend, linear interpoliert, keine Extrapolation. Keine NPSH-, Phasen- oder Festigkeitspruefung. Details und Eingabestand im Anhang.</t>
  </si>
  <si>
    <t>Geprueft durch: ____________________  Datum: _____________  Freigabe: ______________</t>
  </si>
  <si>
    <t>ANHANG | vollstaendiger Berechnungsstand</t>
  </si>
  <si>
    <t>Kv-Armatur | Druckverlustberechnung</t>
  </si>
  <si>
    <t>EINGABEN | unabhaengig von der Systemberechnung</t>
  </si>
  <si>
    <t>Kv bei aktueller Oeffnung</t>
  </si>
  <si>
    <t>Dyn. Viskositaet (dokumentiert)</t>
  </si>
  <si>
    <t>Kv fuer die gewaehlte Oeffnung aus Herstellerdaten einsetzen. Kvs gilt nur bei voller Oeffnung. Anzahl gilt fuer gleiche Armaturen in Serie, nicht parallel.</t>
  </si>
  <si>
    <t>Druckverlust je Armatur</t>
  </si>
  <si>
    <t>Gesamtdruckverlust in Serie</t>
  </si>
  <si>
    <t>Gesamtdruckverlust</t>
  </si>
  <si>
    <t>Pa</t>
  </si>
  <si>
    <t>Verlusthoehe der Fluessigkeit</t>
  </si>
  <si>
    <t>BERECHNUNGSFORMELN | Kv-Definition</t>
  </si>
  <si>
    <t>ρref = 1000 kg/m³; Kv: Volumenstrom bei Δp = 1 bar fuer Referenzwasser</t>
  </si>
  <si>
    <t>Δpeinzeln [bar] = (ρ/ρref) · (Q/Kv)²</t>
  </si>
  <si>
    <t>Δpgesamt [bar] = n · Δpeinzeln [bar]</t>
  </si>
  <si>
    <t>Δp [Pa] = 100000 · Δp [bar]</t>
  </si>
  <si>
    <t>hVerlust [m] = Δpgesamt [Pa] / (ρ g); g = 9,80665 m/s²</t>
  </si>
  <si>
    <t>Q und Kv in m³/h; ρ in kg/m³; bei Q = 0 gilt Δp = 0</t>
  </si>
  <si>
    <t>Stationaere, einphasige inkompressible Newtonsche Fluessigkeit; konstante Dichte und Armaturenoeffnung. Einfache Kv-Beziehung fuer turbulente, nicht kavitierende Stroemung. Keine Korrektur fuer Viskositaet, Reynolds-Zahl, FL, Kavitation, Flashing oder Choked Flow. Viskositaet und Temperatur sind nur dokumentiert. Kein Rohr-/Blendenmodell; DN und Lochdurchmesser gehoeren zur separaten Blendenberechnung. Kv-Definition im Kontext IEC 60534-2-1, keine vollstaendige normgerechte Regelventilauslegung.</t>
  </si>
  <si>
    <t>Ohne Makros und ohne Verknuepfungen zu anderen Blaettern. Ergebnisse aktualisieren sich mit Excel-Formeln. Fuer Engineering-Freigabe Kv, Stoffwerte und Anwendungsgrenzen pruefen. A4 Hochformat, eine Seite.</t>
  </si>
  <si>
    <t>Geprueft durch: ____________________  Datum: ____________  Freigabe: ______________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</si>
</sst>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9">
    <font>
      <sz val="11"/>
      <color theme="1"/>
      <name val="Calibri"/>
      <family val="2"/>
      <scheme val="minor"/>
    </font>
    <font>
      <b/>
      <sz val="19"/>
      <color rgb="FF185469"/>
      <name val="Calibri"/>
      <family val="2"/>
      <scheme val="minor"/>
    </font>
    <font>
      <sz val="11"/>
      <color rgb="FF6C51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7"/>
      <color rgb="FF18546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185469"/>
      <name val="Calibri"/>
      <family val="2"/>
      <scheme val="minor"/>
    </font>
    <font>
      <sz val="11"/>
      <color theme="1"/>
      <name val="Cambria"/>
      <family val="2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3CC"/>
        <bgColor indexed="64"/>
      </patternFill>
    </fill>
    <fill>
      <patternFill patternType="solid">
        <fgColor rgb="FF185469"/>
        <bgColor indexed="64"/>
      </patternFill>
    </fill>
    <fill>
      <patternFill patternType="solid">
        <fgColor rgb="FFE4F3FC"/>
        <bgColor indexed="64"/>
      </patternFill>
    </fill>
    <fill>
      <patternFill patternType="solid">
        <fgColor rgb="FFEDF3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164" fontId="0" fillId="4" borderId="0" xfId="0" applyNumberFormat="1" applyFill="1"/>
    <xf numFmtId="1" fontId="0" fillId="4" borderId="0" xfId="0" applyNumberFormat="1" applyFill="1"/>
    <xf numFmtId="0" fontId="0" fillId="4" borderId="0" xfId="0" applyFill="1"/>
    <xf numFmtId="165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4" borderId="1" xfId="0" applyFont="1" applyFill="1" applyBorder="1"/>
    <xf numFmtId="0" fontId="3" fillId="3" borderId="0" xfId="0" applyFont="1" applyFill="1"/>
    <xf numFmtId="164" fontId="5" fillId="4" borderId="2" xfId="0" applyNumberFormat="1" applyFont="1" applyFill="1" applyBorder="1"/>
    <xf numFmtId="165" fontId="6" fillId="0" borderId="0" xfId="0" applyNumberFormat="1" applyFont="1"/>
    <xf numFmtId="0" fontId="5" fillId="2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0" fillId="4" borderId="1" xfId="0" applyFill="1" applyBorder="1"/>
    <xf numFmtId="164" fontId="0" fillId="4" borderId="2" xfId="0" applyNumberFormat="1" applyFill="1" applyBorder="1"/>
  </cellXfs>
  <cellStyles count="1">
    <cellStyle name="Normal" xfId="0" builtinId="0"/>
  </cellStyles>
  <dxfs count="5">
    <dxf>
      <fill>
        <patternFill>
          <bgColor rgb="FFE4F3FC"/>
        </patternFill>
      </fill>
    </dxf>
    <dxf>
      <numFmt numFmtId="1" formatCode="0"/>
      <fill>
        <patternFill>
          <bgColor rgb="FFE4F3FC"/>
        </patternFill>
      </fill>
    </dxf>
    <dxf>
      <numFmt numFmtId="164" formatCode="0.000"/>
      <fill>
        <patternFill>
          <bgColor rgb="FFE4F3FC"/>
        </patternFill>
      </fill>
    </dxf>
    <dxf>
      <font>
        <color rgb="FF6C5100"/>
      </font>
      <fill>
        <patternFill>
          <bgColor rgb="FFFFF3CC"/>
        </patternFill>
      </fill>
    </dxf>
    <dxf>
      <numFmt numFmtId="165" formatCode="0.000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Nach VBA-Berechnung automatisch aktualisiert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Rohrreibung</c:v>
          </c:tx>
          <c:marker>
            <c:symbol val="none"/>
          </c:marker>
          <c:xVal>
            <c:numRef>
              <c:f>Ergebnisse!$A$5:$A$105</c:f>
              <c:numCache>
                <c:formatCode>General</c:formatCode>
                <c:ptCount val="101"/>
              </c:numCache>
            </c:numRef>
          </c:xVal>
          <c:yVal>
            <c:numRef>
              <c:f>Ergebnisse!$E$5:$E$105</c:f>
              <c:numCache>
                <c:formatCode>General</c:formatCode>
                <c:ptCount val="101"/>
              </c:numCache>
            </c:numRef>
          </c:yVal>
        </c:ser>
        <c:ser>
          <c:idx val="1"/>
          <c:order val="1"/>
          <c:tx>
            <c:v>Einzelwiderstaende</c:v>
          </c:tx>
          <c:marker>
            <c:symbol val="none"/>
          </c:marker>
          <c:xVal>
            <c:numRef>
              <c:f>Ergebnisse!$A$5:$A$105</c:f>
              <c:numCache>
                <c:formatCode>General</c:formatCode>
                <c:ptCount val="101"/>
              </c:numCache>
            </c:numRef>
          </c:xVal>
          <c:yVal>
            <c:numRef>
              <c:f>Ergebnisse!$F$5:$F$105</c:f>
              <c:numCache>
                <c:formatCode>General</c:formatCode>
                <c:ptCount val="101"/>
              </c:numCache>
            </c:numRef>
          </c:yVal>
        </c:ser>
        <c:ser>
          <c:idx val="2"/>
          <c:order val="2"/>
          <c:tx>
            <c:v>System gesamt</c:v>
          </c:tx>
          <c:marker>
            <c:symbol val="none"/>
          </c:marker>
          <c:xVal>
            <c:numRef>
              <c:f>Ergebnisse!$A$5:$A$105</c:f>
              <c:numCache>
                <c:formatCode>General</c:formatCode>
                <c:ptCount val="101"/>
              </c:numCache>
            </c:numRef>
          </c:xVal>
          <c:yVal>
            <c:numRef>
              <c:f>Ergebnisse!$I$5:$I$105</c:f>
              <c:numCache>
                <c:formatCode>General</c:formatCode>
                <c:ptCount val="101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Volumenstrom Q [m³/h]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Differenzdruck Δp [bar]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Nach Pumpenberechnung aktualisiert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Pumpe</c:v>
          </c:tx>
          <c:marker>
            <c:symbol val="none"/>
          </c:marker>
          <c:xVal>
            <c:numRef>
              <c:f>Pumpe!$A$21:$A$26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xVal>
          <c:yVal>
            <c:numRef>
              <c:f>Pumpe!$C$21:$C$26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</c:ser>
        <c:ser>
          <c:idx val="1"/>
          <c:order val="1"/>
          <c:tx>
            <c:v>System</c:v>
          </c:tx>
          <c:marker>
            <c:symbol val="none"/>
          </c:marker>
          <c:xVal>
            <c:numRef>
              <c:f>Pumpe!$N$5:$N$205</c:f>
              <c:numCache>
                <c:formatCode>General</c:formatCode>
                <c:ptCount val="201"/>
              </c:numCache>
            </c:numRef>
          </c:xVal>
          <c:yVal>
            <c:numRef>
              <c:f>Pumpe!$O$5:$O$205</c:f>
              <c:numCache>
                <c:formatCode>General</c:formatCode>
                <c:ptCount val="201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 [m³/h]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Differenzdruck [bar]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0</xdr:rowOff>
    </xdr:from>
    <xdr:to>
      <xdr:col>27</xdr:col>
      <xdr:colOff>38100</xdr:colOff>
      <xdr:row>23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19</xdr:row>
      <xdr:rowOff>0</xdr:rowOff>
    </xdr:from>
    <xdr:to>
      <xdr:col>13</xdr:col>
      <xdr:colOff>171450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rmaturen" displayName="tblArmaturen" ref="A20:D32" totalsRowShown="0">
  <autoFilter ref="A20:D32"/>
  <tableColumns count="4">
    <tableColumn id="1" name="Armaturentyp" dataDxfId="0"/>
    <tableColumn id="2" name="Anzahl" dataDxfId="1"/>
    <tableColumn id="3" name="Zeta manuell" dataDxfId="2"/>
    <tableColumn id="4" name="Hinwe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atenbank" displayName="tblDatenbank" ref="A4:D16" totalsRowShown="0">
  <autoFilter ref="A4:D16"/>
  <tableColumns count="4">
    <tableColumn id="1" name="Typ"/>
    <tableColumn id="2" name="Zeta"/>
    <tableColumn id="3" name="Bedingungen"/>
    <tableColumn id="4" name="Quelle / Datenqualita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umpe" displayName="tblPumpe" ref="A20:C26" totalsRowShown="0">
  <autoFilter ref="A20:C26"/>
  <tableColumns count="3">
    <tableColumn id="1" name="Q [m3/h]" dataDxfId="2"/>
    <tableColumn id="2" name="Foerderhoehe H [m]" dataDxfId="2"/>
    <tableColumn id="3" name="Pumpendruck [bar]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table" Target="../tables/table2.xml"/><Relationship Id="rId3" Type="http://schemas.openxmlformats.org/officeDocument/2006/relationships/comments" Target="../comments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2.7109375" customWidth="1"/>
    <col min="2" max="3" width="19.7109375" customWidth="1"/>
    <col min="4" max="4" width="52.7109375" customWidth="1"/>
    <col min="6" max="9" width="15.7109375" customWidth="1"/>
  </cols>
  <sheetData>
    <row r="1" spans="1:8">
      <c r="A1" s="1" t="s">
        <v>0</v>
      </c>
    </row>
    <row r="2" spans="1:8">
      <c r="A2" s="2" t="s">
        <v>1</v>
      </c>
      <c r="B2" s="2"/>
      <c r="C2" s="2"/>
      <c r="D2" s="2"/>
      <c r="F2" s="3" t="s">
        <v>22</v>
      </c>
      <c r="G2" s="3"/>
      <c r="H2" s="3"/>
    </row>
    <row r="3" spans="1:8">
      <c r="A3" s="2"/>
      <c r="B3" s="2"/>
      <c r="C3" s="2"/>
      <c r="D3" s="2"/>
      <c r="G3" s="4">
        <v>10</v>
      </c>
    </row>
    <row r="5" spans="1:8">
      <c r="A5" t="s">
        <v>2</v>
      </c>
      <c r="B5" s="5">
        <v>50</v>
      </c>
      <c r="C5" t="s">
        <v>3</v>
      </c>
    </row>
    <row r="6" spans="1:8">
      <c r="A6" t="s">
        <v>4</v>
      </c>
      <c r="B6" s="4">
        <v>54.5</v>
      </c>
      <c r="C6" t="s">
        <v>5</v>
      </c>
    </row>
    <row r="7" spans="1:8">
      <c r="A7" t="s">
        <v>6</v>
      </c>
      <c r="B7" s="4">
        <v>100</v>
      </c>
      <c r="C7" t="s">
        <v>7</v>
      </c>
    </row>
    <row r="8" spans="1:8">
      <c r="A8" t="s">
        <v>8</v>
      </c>
      <c r="B8" s="4">
        <v>0.045</v>
      </c>
      <c r="C8" t="s">
        <v>5</v>
      </c>
    </row>
    <row r="9" spans="1:8">
      <c r="A9" t="s">
        <v>9</v>
      </c>
      <c r="B9" s="4">
        <v>0</v>
      </c>
      <c r="C9" t="s">
        <v>7</v>
      </c>
    </row>
    <row r="10" spans="1:8">
      <c r="A10" t="s">
        <v>10</v>
      </c>
      <c r="B10" s="4">
        <v>998.2</v>
      </c>
      <c r="C10" t="s">
        <v>11</v>
      </c>
    </row>
    <row r="11" spans="1:8">
      <c r="A11" t="s">
        <v>12</v>
      </c>
      <c r="B11" s="4">
        <v>1.002</v>
      </c>
      <c r="C11" t="s">
        <v>13</v>
      </c>
    </row>
    <row r="12" spans="1:8">
      <c r="A12" t="s">
        <v>14</v>
      </c>
      <c r="B12" s="4">
        <v>20</v>
      </c>
      <c r="C12" t="s">
        <v>15</v>
      </c>
    </row>
    <row r="13" spans="1:8">
      <c r="A13" t="s">
        <v>16</v>
      </c>
      <c r="B13" s="4">
        <v>0</v>
      </c>
      <c r="C13" t="s">
        <v>17</v>
      </c>
    </row>
    <row r="14" spans="1:8">
      <c r="A14" t="s">
        <v>18</v>
      </c>
      <c r="B14" s="4">
        <v>30</v>
      </c>
      <c r="C14" t="s">
        <v>17</v>
      </c>
    </row>
    <row r="15" spans="1:8">
      <c r="A15" t="s">
        <v>19</v>
      </c>
      <c r="B15" s="5">
        <v>101</v>
      </c>
      <c r="C15" t="s">
        <v>3</v>
      </c>
    </row>
    <row r="16" spans="1:8">
      <c r="A16" t="s">
        <v>20</v>
      </c>
      <c r="B16" s="4">
        <v>0</v>
      </c>
      <c r="C16" t="s">
        <v>21</v>
      </c>
    </row>
    <row r="18" spans="1:4">
      <c r="A18" s="2" t="s">
        <v>23</v>
      </c>
      <c r="B18" s="2"/>
      <c r="C18" s="2"/>
      <c r="D18" s="2"/>
    </row>
    <row r="19" spans="1:4">
      <c r="A19" s="2"/>
      <c r="B19" s="2"/>
      <c r="C19" s="2"/>
      <c r="D19" s="2"/>
    </row>
    <row r="20" spans="1:4">
      <c r="A20" t="s">
        <v>24</v>
      </c>
      <c r="B20" t="s">
        <v>25</v>
      </c>
      <c r="C20" t="s">
        <v>26</v>
      </c>
      <c r="D20" t="s">
        <v>27</v>
      </c>
    </row>
    <row r="21" spans="1:4">
      <c r="A21" s="6" t="s">
        <v>28</v>
      </c>
      <c r="B21" s="5">
        <v>0</v>
      </c>
      <c r="C21" s="4"/>
      <c r="D21" t="s">
        <v>29</v>
      </c>
    </row>
    <row r="22" spans="1:4">
      <c r="A22" s="6" t="s">
        <v>30</v>
      </c>
      <c r="B22" s="5">
        <v>0</v>
      </c>
      <c r="C22" s="4"/>
      <c r="D22" t="s">
        <v>29</v>
      </c>
    </row>
    <row r="23" spans="1:4">
      <c r="A23" s="6" t="s">
        <v>31</v>
      </c>
      <c r="B23" s="5">
        <v>0</v>
      </c>
      <c r="C23" s="4"/>
      <c r="D23" t="s">
        <v>29</v>
      </c>
    </row>
    <row r="24" spans="1:4">
      <c r="A24" s="6" t="s">
        <v>32</v>
      </c>
      <c r="B24" s="5">
        <v>0</v>
      </c>
      <c r="C24" s="4"/>
      <c r="D24" t="s">
        <v>29</v>
      </c>
    </row>
    <row r="25" spans="1:4">
      <c r="A25" s="6" t="s">
        <v>33</v>
      </c>
      <c r="B25" s="5">
        <v>0</v>
      </c>
      <c r="C25" s="4"/>
      <c r="D25" t="s">
        <v>29</v>
      </c>
    </row>
    <row r="26" spans="1:4">
      <c r="A26" s="6" t="s">
        <v>34</v>
      </c>
      <c r="B26" s="5">
        <v>0</v>
      </c>
      <c r="C26" s="4"/>
      <c r="D26" t="s">
        <v>29</v>
      </c>
    </row>
    <row r="27" spans="1:4">
      <c r="A27" s="6" t="s">
        <v>35</v>
      </c>
      <c r="B27" s="5">
        <v>0</v>
      </c>
      <c r="C27" s="4"/>
      <c r="D27" t="s">
        <v>29</v>
      </c>
    </row>
    <row r="28" spans="1:4">
      <c r="A28" s="6" t="s">
        <v>36</v>
      </c>
      <c r="B28" s="5">
        <v>0</v>
      </c>
      <c r="C28" s="4"/>
      <c r="D28" t="s">
        <v>29</v>
      </c>
    </row>
    <row r="29" spans="1:4">
      <c r="A29" s="6" t="s">
        <v>37</v>
      </c>
      <c r="B29" s="5">
        <v>0</v>
      </c>
      <c r="C29" s="4"/>
      <c r="D29" t="s">
        <v>29</v>
      </c>
    </row>
    <row r="30" spans="1:4">
      <c r="A30" s="6" t="s">
        <v>38</v>
      </c>
      <c r="B30" s="5">
        <v>0</v>
      </c>
      <c r="C30" s="4"/>
      <c r="D30" t="s">
        <v>29</v>
      </c>
    </row>
    <row r="31" spans="1:4">
      <c r="A31" s="6" t="s">
        <v>39</v>
      </c>
      <c r="B31" s="5">
        <v>0</v>
      </c>
      <c r="C31" s="4"/>
      <c r="D31" t="s">
        <v>29</v>
      </c>
    </row>
    <row r="32" spans="1:4">
      <c r="A32" s="6" t="s">
        <v>40</v>
      </c>
      <c r="B32" s="5">
        <v>0</v>
      </c>
      <c r="C32" s="4"/>
      <c r="D32" t="s">
        <v>29</v>
      </c>
    </row>
  </sheetData>
  <mergeCells count="3">
    <mergeCell ref="A2:D3"/>
    <mergeCell ref="F2:H2"/>
    <mergeCell ref="A18:D19"/>
  </mergeCells>
  <dataValidations count="13">
    <dataValidation type="decimal" operator="greaterThanOrEqual" allowBlank="1" showInputMessage="1" showErrorMessage="1" sqref="G3">
      <formula1>0</formula1>
    </dataValidation>
    <dataValidation type="list" allowBlank="1" showInputMessage="1" showErrorMessage="1" sqref="B5">
      <formula1>DNWerte</formula1>
    </dataValidation>
    <dataValidation type="decimal" operator="greaterThan" allowBlank="1" showInputMessage="1" showErrorMessage="1" sqref="B6">
      <formula1>0</formula1>
    </dataValidation>
    <dataValidation type="decimal" operator="greaterThan" allowBlank="1" showInputMessage="1" showErrorMessage="1" sqref="B10">
      <formula1>0</formula1>
    </dataValidation>
    <dataValidation type="decimal" operator="greaterThan" allowBlank="1" showInputMessage="1" showErrorMessage="1" sqref="B11">
      <formula1>0</formula1>
    </dataValidation>
    <dataValidation type="decimal" operator="greaterThanOrEqual" allowBlank="1" showInputMessage="1" showErrorMessage="1" sqref="B7">
      <formula1>0</formula1>
    </dataValidation>
    <dataValidation type="decimal" operator="greaterThanOrEqual" allowBlank="1" showInputMessage="1" showErrorMessage="1" sqref="B8">
      <formula1>0</formula1>
    </dataValidation>
    <dataValidation type="decimal" operator="greaterThanOrEqual" allowBlank="1" showInputMessage="1" showErrorMessage="1" sqref="B13">
      <formula1>0</formula1>
    </dataValidation>
    <dataValidation type="decimal" operator="greaterThanOrEqual" allowBlank="1" showInputMessage="1" showErrorMessage="1" sqref="B14">
      <formula1>0</formula1>
    </dataValidation>
    <dataValidation type="whole" allowBlank="1" showInputMessage="1" showErrorMessage="1" sqref="B15">
      <formula1>2</formula1>
      <formula2>10000</formula2>
    </dataValidation>
    <dataValidation type="list" allowBlank="1" showInputMessage="1" showErrorMessage="1" sqref="A21:A32">
      <formula1>ArmaturenTypen</formula1>
    </dataValidation>
    <dataValidation type="whole" allowBlank="1" showInputMessage="1" showErrorMessage="1" sqref="B21:B32">
      <formula1>0</formula1>
      <formula2>100000</formula2>
    </dataValidation>
    <dataValidation type="decimal" operator="greaterThanOrEqual" allowBlank="1" showInputMessage="1" showErrorMessage="1" sqref="C21:C32">
      <formula1>0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9" width="17.7109375" style="7" customWidth="1"/>
    <col min="10" max="10" width="16.7109375" customWidth="1"/>
    <col min="11" max="11" width="85.7109375" customWidth="1"/>
    <col min="12" max="13" width="22.7109375" style="7" customWidth="1"/>
  </cols>
  <sheetData>
    <row r="1" spans="1:13">
      <c r="A1" s="1" t="s">
        <v>61</v>
      </c>
    </row>
    <row r="2" spans="1:13">
      <c r="A2" s="2" t="s">
        <v>62</v>
      </c>
    </row>
    <row r="3" spans="1:13">
      <c r="A3" s="2" t="s">
        <v>63</v>
      </c>
    </row>
    <row r="4" spans="1:13" ht="32" customHeight="1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71</v>
      </c>
      <c r="I4" s="3" t="s">
        <v>72</v>
      </c>
      <c r="J4" s="3" t="s">
        <v>73</v>
      </c>
      <c r="K4" s="3" t="s">
        <v>74</v>
      </c>
      <c r="L4" s="3" t="s">
        <v>75</v>
      </c>
      <c r="M4" s="3" t="s">
        <v>76</v>
      </c>
    </row>
  </sheetData>
  <conditionalFormatting sqref="J5:J10004">
    <cfRule type="containsText" dxfId="3" priority="1" operator="containsText" text="Uebergang">
      <formula>NOT(ISERROR(SEARCH("Uebergang",J5)))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1" width="42.7109375" customWidth="1"/>
    <col min="2" max="2" width="14.7109375" customWidth="1"/>
    <col min="3" max="4" width="65.7109375" customWidth="1"/>
    <col min="6" max="7" width="16.7109375" customWidth="1"/>
  </cols>
  <sheetData>
    <row r="1" spans="1:7">
      <c r="A1" s="1" t="s">
        <v>41</v>
      </c>
    </row>
    <row r="2" spans="1:7">
      <c r="A2" s="2" t="s">
        <v>42</v>
      </c>
      <c r="B2" s="2"/>
      <c r="C2" s="2"/>
      <c r="D2" s="2"/>
    </row>
    <row r="3" spans="1:7">
      <c r="A3" s="2"/>
      <c r="B3" s="2"/>
      <c r="C3" s="2"/>
      <c r="D3" s="2"/>
    </row>
    <row r="4" spans="1:7">
      <c r="A4" t="s">
        <v>43</v>
      </c>
      <c r="B4" t="s">
        <v>44</v>
      </c>
      <c r="C4" t="s">
        <v>45</v>
      </c>
      <c r="D4" t="s">
        <v>46</v>
      </c>
      <c r="F4" s="3" t="s">
        <v>59</v>
      </c>
      <c r="G4" s="3" t="s">
        <v>60</v>
      </c>
    </row>
    <row r="5" spans="1:7">
      <c r="A5" t="s">
        <v>28</v>
      </c>
      <c r="B5">
        <v>0.9</v>
      </c>
      <c r="C5" t="s">
        <v>47</v>
      </c>
      <c r="D5" t="s">
        <v>48</v>
      </c>
      <c r="F5">
        <v>10</v>
      </c>
      <c r="G5">
        <v>13.6</v>
      </c>
    </row>
    <row r="6" spans="1:7">
      <c r="A6" t="s">
        <v>30</v>
      </c>
      <c r="B6">
        <v>0.4</v>
      </c>
      <c r="C6" t="s">
        <v>47</v>
      </c>
      <c r="D6" t="s">
        <v>48</v>
      </c>
      <c r="F6">
        <v>15</v>
      </c>
      <c r="G6">
        <v>17.3</v>
      </c>
    </row>
    <row r="7" spans="1:7">
      <c r="A7" t="s">
        <v>31</v>
      </c>
      <c r="B7">
        <v>0.6</v>
      </c>
      <c r="C7" t="s">
        <v>49</v>
      </c>
      <c r="D7" t="s">
        <v>48</v>
      </c>
      <c r="F7">
        <v>20</v>
      </c>
      <c r="G7">
        <v>22.3</v>
      </c>
    </row>
    <row r="8" spans="1:7">
      <c r="A8" t="s">
        <v>32</v>
      </c>
      <c r="B8">
        <v>1.8</v>
      </c>
      <c r="C8" t="s">
        <v>50</v>
      </c>
      <c r="D8" t="s">
        <v>48</v>
      </c>
      <c r="F8">
        <v>25</v>
      </c>
      <c r="G8">
        <v>28.5</v>
      </c>
    </row>
    <row r="9" spans="1:7">
      <c r="A9" t="s">
        <v>33</v>
      </c>
      <c r="B9">
        <v>0.05</v>
      </c>
      <c r="C9" t="s">
        <v>51</v>
      </c>
      <c r="D9" t="s">
        <v>48</v>
      </c>
      <c r="F9">
        <v>32</v>
      </c>
      <c r="G9">
        <v>37.2</v>
      </c>
    </row>
    <row r="10" spans="1:7">
      <c r="A10" t="s">
        <v>34</v>
      </c>
      <c r="B10">
        <v>0.15</v>
      </c>
      <c r="C10" t="s">
        <v>52</v>
      </c>
      <c r="D10" t="s">
        <v>48</v>
      </c>
      <c r="F10">
        <v>40</v>
      </c>
      <c r="G10">
        <v>43.1</v>
      </c>
    </row>
    <row r="11" spans="1:7">
      <c r="A11" t="s">
        <v>35</v>
      </c>
      <c r="B11">
        <v>10</v>
      </c>
      <c r="C11" t="s">
        <v>53</v>
      </c>
      <c r="D11" t="s">
        <v>48</v>
      </c>
      <c r="F11">
        <v>50</v>
      </c>
      <c r="G11">
        <v>54.5</v>
      </c>
    </row>
    <row r="12" spans="1:7">
      <c r="A12" t="s">
        <v>36</v>
      </c>
      <c r="B12">
        <v>2</v>
      </c>
      <c r="C12" t="s">
        <v>54</v>
      </c>
      <c r="D12" t="s">
        <v>48</v>
      </c>
      <c r="F12">
        <v>65</v>
      </c>
      <c r="G12">
        <v>70.3</v>
      </c>
    </row>
    <row r="13" spans="1:7">
      <c r="A13" t="s">
        <v>37</v>
      </c>
      <c r="B13">
        <v>2</v>
      </c>
      <c r="C13" t="s">
        <v>55</v>
      </c>
      <c r="D13" t="s">
        <v>48</v>
      </c>
      <c r="F13">
        <v>80</v>
      </c>
      <c r="G13">
        <v>82.5</v>
      </c>
    </row>
    <row r="14" spans="1:7">
      <c r="A14" t="s">
        <v>38</v>
      </c>
      <c r="B14">
        <v>0.5</v>
      </c>
      <c r="C14" t="s">
        <v>56</v>
      </c>
      <c r="D14" t="s">
        <v>48</v>
      </c>
      <c r="F14">
        <v>100</v>
      </c>
      <c r="G14">
        <v>107.1</v>
      </c>
    </row>
    <row r="15" spans="1:7">
      <c r="A15" t="s">
        <v>39</v>
      </c>
      <c r="B15">
        <v>1</v>
      </c>
      <c r="C15" t="s">
        <v>57</v>
      </c>
      <c r="D15" t="s">
        <v>48</v>
      </c>
      <c r="F15">
        <v>125</v>
      </c>
      <c r="G15">
        <v>131.7</v>
      </c>
    </row>
    <row r="16" spans="1:7">
      <c r="A16" t="s">
        <v>40</v>
      </c>
      <c r="B16">
        <v>0</v>
      </c>
      <c r="C16" t="s">
        <v>58</v>
      </c>
      <c r="D16" t="s">
        <v>48</v>
      </c>
      <c r="F16">
        <v>150</v>
      </c>
      <c r="G16">
        <v>159.3</v>
      </c>
    </row>
    <row r="17" spans="6:7">
      <c r="F17">
        <v>200</v>
      </c>
      <c r="G17">
        <v>210.1</v>
      </c>
    </row>
    <row r="18" spans="6:7">
      <c r="F18">
        <v>250</v>
      </c>
      <c r="G18">
        <v>263</v>
      </c>
    </row>
    <row r="19" spans="6:7">
      <c r="F19">
        <v>300</v>
      </c>
      <c r="G19">
        <v>312.7</v>
      </c>
    </row>
    <row r="20" spans="6:7">
      <c r="F20">
        <v>350</v>
      </c>
      <c r="G20">
        <v>344.4</v>
      </c>
    </row>
    <row r="21" spans="6:7">
      <c r="F21">
        <v>400</v>
      </c>
      <c r="G21">
        <v>393.8</v>
      </c>
    </row>
    <row r="22" spans="6:7">
      <c r="F22">
        <v>500</v>
      </c>
      <c r="G22">
        <v>493</v>
      </c>
    </row>
  </sheetData>
  <mergeCells count="1">
    <mergeCell ref="A2:D3"/>
  </mergeCell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42.7109375" customWidth="1"/>
    <col min="2" max="6" width="20.7109375" customWidth="1"/>
  </cols>
  <sheetData>
    <row r="1" spans="1:6">
      <c r="A1" s="1" t="s">
        <v>77</v>
      </c>
    </row>
    <row r="2" spans="1:6">
      <c r="A2" s="2" t="s">
        <v>78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5" spans="1:6">
      <c r="A5" t="s">
        <v>79</v>
      </c>
      <c r="B5" s="5">
        <v>0</v>
      </c>
      <c r="C5" t="s">
        <v>3</v>
      </c>
    </row>
    <row r="6" spans="1:6">
      <c r="A6" t="s">
        <v>80</v>
      </c>
      <c r="B6" s="5">
        <v>50</v>
      </c>
      <c r="C6" t="s">
        <v>3</v>
      </c>
    </row>
    <row r="7" spans="1:6">
      <c r="A7" t="s">
        <v>81</v>
      </c>
      <c r="B7" s="4">
        <v>54.5</v>
      </c>
      <c r="C7" t="s">
        <v>5</v>
      </c>
    </row>
    <row r="8" spans="1:6">
      <c r="A8" t="s">
        <v>82</v>
      </c>
      <c r="B8" s="4">
        <v>25</v>
      </c>
      <c r="C8" t="s">
        <v>5</v>
      </c>
    </row>
    <row r="9" spans="1:6">
      <c r="A9" t="s">
        <v>83</v>
      </c>
      <c r="B9" s="4">
        <v>0.61</v>
      </c>
      <c r="C9" t="s">
        <v>3</v>
      </c>
    </row>
    <row r="10" spans="1:6">
      <c r="A10" t="s">
        <v>84</v>
      </c>
      <c r="B10" s="5">
        <v>1</v>
      </c>
      <c r="C10" t="s">
        <v>3</v>
      </c>
    </row>
    <row r="12" spans="1:6">
      <c r="A12" s="2" t="s">
        <v>85</v>
      </c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7" spans="1:2">
      <c r="A17" t="s">
        <v>86</v>
      </c>
      <c r="B17" s="7">
        <f>IFERROR(B8/B7,"")</f>
        <v>0.45871559633027525</v>
      </c>
    </row>
  </sheetData>
  <mergeCells count="2">
    <mergeCell ref="A2:F3"/>
    <mergeCell ref="A12:F15"/>
  </mergeCells>
  <dataValidations count="6">
    <dataValidation type="whole" allowBlank="1" showInputMessage="1" showErrorMessage="1" sqref="B5">
      <formula1>0</formula1>
      <formula2>1</formula2>
    </dataValidation>
    <dataValidation type="list" allowBlank="1" showInputMessage="1" showErrorMessage="1" sqref="B6">
      <formula1>DNWerte</formula1>
    </dataValidation>
    <dataValidation type="decimal" operator="greaterThan" allowBlank="1" showInputMessage="1" showErrorMessage="1" sqref="B7">
      <formula1>0</formula1>
    </dataValidation>
    <dataValidation type="decimal" operator="greaterThan" allowBlank="1" showInputMessage="1" showErrorMessage="1" sqref="B8">
      <formula1>0</formula1>
    </dataValidation>
    <dataValidation type="decimal" allowBlank="1" showInputMessage="1" showErrorMessage="1" sqref="B9">
      <formula1>1e-06</formula1>
      <formula2>0.999999</formula2>
    </dataValidation>
    <dataValidation type="whole" allowBlank="1" showInputMessage="1" showErrorMessage="1" sqref="B10">
      <formula1>1</formula1>
      <formula2>1000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cols>
    <col min="1" max="3" width="23.7109375" customWidth="1"/>
    <col min="5" max="12" width="13.7109375" customWidth="1"/>
    <col min="14" max="15" width="22.7109375" style="7" customWidth="1"/>
  </cols>
  <sheetData>
    <row r="1" spans="1:15">
      <c r="A1" s="1" t="s">
        <v>87</v>
      </c>
    </row>
    <row r="3" spans="1:15">
      <c r="A3" s="2" t="s">
        <v>88</v>
      </c>
    </row>
    <row r="4" spans="1:15">
      <c r="N4" s="3" t="s">
        <v>94</v>
      </c>
      <c r="O4" s="3" t="s">
        <v>95</v>
      </c>
    </row>
    <row r="5" spans="1:15">
      <c r="A5" s="2" t="s">
        <v>89</v>
      </c>
      <c r="B5" s="2"/>
      <c r="C5" s="2"/>
      <c r="D5" s="2"/>
      <c r="E5" s="2"/>
      <c r="F5" s="2"/>
    </row>
    <row r="6" spans="1:15">
      <c r="A6" s="2"/>
      <c r="B6" s="2"/>
      <c r="C6" s="2"/>
      <c r="D6" s="2"/>
      <c r="E6" s="2"/>
      <c r="F6" s="2"/>
    </row>
    <row r="7" spans="1:15">
      <c r="A7" s="2"/>
      <c r="B7" s="2"/>
      <c r="C7" s="2"/>
      <c r="D7" s="2"/>
      <c r="E7" s="2"/>
      <c r="F7" s="2"/>
    </row>
    <row r="8" spans="1:15">
      <c r="A8" s="2"/>
      <c r="B8" s="2"/>
      <c r="C8" s="2"/>
      <c r="D8" s="2"/>
      <c r="E8" s="2"/>
      <c r="F8" s="2"/>
    </row>
    <row r="10" spans="1:15">
      <c r="A10" s="2" t="s">
        <v>90</v>
      </c>
      <c r="B10" s="2"/>
      <c r="C10" s="2"/>
      <c r="D10" s="2"/>
      <c r="E10" s="2"/>
      <c r="F10" s="2"/>
    </row>
    <row r="11" spans="1:15">
      <c r="A11" s="2"/>
      <c r="B11" s="2"/>
      <c r="C11" s="2"/>
      <c r="D11" s="2"/>
      <c r="E11" s="2"/>
      <c r="F11" s="2"/>
    </row>
    <row r="12" spans="1:15">
      <c r="A12" s="2"/>
      <c r="B12" s="2"/>
      <c r="C12" s="2"/>
      <c r="D12" s="2"/>
      <c r="E12" s="2"/>
      <c r="F12" s="2"/>
    </row>
    <row r="20" spans="1:3">
      <c r="A20" t="s">
        <v>91</v>
      </c>
      <c r="B20" t="s">
        <v>92</v>
      </c>
      <c r="C20" t="s">
        <v>93</v>
      </c>
    </row>
    <row r="21" spans="1:3">
      <c r="A21" s="4">
        <v>0</v>
      </c>
      <c r="B21" s="4">
        <v>40</v>
      </c>
      <c r="C21" s="7"/>
    </row>
    <row r="22" spans="1:3">
      <c r="A22" s="4">
        <v>10</v>
      </c>
      <c r="B22" s="4">
        <v>38</v>
      </c>
      <c r="C22" s="7"/>
    </row>
    <row r="23" spans="1:3">
      <c r="A23" s="4">
        <v>20</v>
      </c>
      <c r="B23" s="4">
        <v>32</v>
      </c>
      <c r="C23" s="7"/>
    </row>
    <row r="24" spans="1:3">
      <c r="A24" s="4">
        <v>30</v>
      </c>
      <c r="B24" s="4">
        <v>23</v>
      </c>
      <c r="C24" s="7"/>
    </row>
    <row r="25" spans="1:3">
      <c r="A25" s="4">
        <v>40</v>
      </c>
      <c r="B25" s="4">
        <v>12</v>
      </c>
      <c r="C25" s="7"/>
    </row>
    <row r="26" spans="1:3">
      <c r="A26" s="4">
        <v>50</v>
      </c>
      <c r="B26" s="4">
        <v>0</v>
      </c>
      <c r="C26" s="7"/>
    </row>
  </sheetData>
  <mergeCells count="2">
    <mergeCell ref="A5:F8"/>
    <mergeCell ref="A10:F12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cols>
    <col min="1" max="9" width="17.7109375" style="7" customWidth="1"/>
    <col min="10" max="10" width="16.7109375" customWidth="1"/>
    <col min="11" max="11" width="85.7109375" customWidth="1"/>
    <col min="12" max="13" width="22.7109375" style="7" customWidth="1"/>
    <col min="14" max="15" width="23.7109375" style="7" customWidth="1"/>
  </cols>
  <sheetData>
    <row r="1" spans="1:13">
      <c r="A1" s="1" t="s">
        <v>96</v>
      </c>
    </row>
    <row r="2" spans="1:13">
      <c r="A2" s="2" t="s">
        <v>97</v>
      </c>
    </row>
    <row r="3" spans="1:13">
      <c r="A3" s="2" t="s">
        <v>98</v>
      </c>
    </row>
    <row r="4" spans="1:13" ht="32" customHeight="1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71</v>
      </c>
      <c r="I4" s="3" t="s">
        <v>72</v>
      </c>
      <c r="J4" s="3" t="s">
        <v>73</v>
      </c>
      <c r="K4" s="3" t="s">
        <v>74</v>
      </c>
      <c r="L4" s="3" t="s">
        <v>75</v>
      </c>
      <c r="M4" s="3" t="s">
        <v>76</v>
      </c>
    </row>
    <row r="8" spans="1:13">
      <c r="A8" s="1" t="s">
        <v>99</v>
      </c>
    </row>
    <row r="9" spans="1:13">
      <c r="A9" s="2" t="s">
        <v>100</v>
      </c>
    </row>
    <row r="10" spans="1:13" ht="32" customHeight="1">
      <c r="A10" s="3" t="s">
        <v>64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3" t="s">
        <v>72</v>
      </c>
      <c r="J10" s="3" t="s">
        <v>73</v>
      </c>
      <c r="K10" s="3" t="s">
        <v>74</v>
      </c>
      <c r="L10" s="3" t="s">
        <v>75</v>
      </c>
      <c r="M10" s="3" t="s">
        <v>76</v>
      </c>
    </row>
  </sheetData>
  <conditionalFormatting sqref="J5:J11">
    <cfRule type="containsText" dxfId="3" priority="1" operator="containsText" text="Uebergang">
      <formula>NOT(ISERROR(SEARCH("Uebergang",J5)))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42.7109375" customWidth="1"/>
    <col min="2" max="3" width="20.7109375" customWidth="1"/>
    <col min="4" max="6" width="18.7109375" customWidth="1"/>
  </cols>
  <sheetData>
    <row r="1" spans="1:6">
      <c r="A1" s="1" t="s">
        <v>101</v>
      </c>
    </row>
    <row r="2" spans="1:6">
      <c r="A2" s="2" t="s">
        <v>102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5" spans="1:6">
      <c r="A5" t="s">
        <v>79</v>
      </c>
      <c r="B5" s="4">
        <v>0</v>
      </c>
      <c r="C5" t="s">
        <v>3</v>
      </c>
    </row>
    <row r="6" spans="1:6">
      <c r="A6" t="s">
        <v>103</v>
      </c>
      <c r="B6" s="4">
        <v>10</v>
      </c>
      <c r="C6" t="s">
        <v>17</v>
      </c>
    </row>
    <row r="7" spans="1:6">
      <c r="A7" t="s">
        <v>104</v>
      </c>
      <c r="B7" s="4">
        <v>1</v>
      </c>
      <c r="C7" t="s">
        <v>3</v>
      </c>
    </row>
    <row r="10" spans="1:6">
      <c r="A10" s="2" t="s">
        <v>105</v>
      </c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</sheetData>
  <mergeCells count="2">
    <mergeCell ref="A2:F3"/>
    <mergeCell ref="A10:F13"/>
  </mergeCells>
  <dataValidations count="3">
    <dataValidation type="whole" allowBlank="1" showInputMessage="1" showErrorMessage="1" sqref="B5">
      <formula1>0</formula1>
      <formula2>1</formula2>
    </dataValidation>
    <dataValidation type="decimal" operator="greaterThan" allowBlank="1" showInputMessage="1" showErrorMessage="1" sqref="B6">
      <formula1>0</formula1>
    </dataValidation>
    <dataValidation type="whole" allowBlank="1" showInputMessage="1" showErrorMessage="1" sqref="B7">
      <formula1>1</formula1>
      <formula2>1000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48"/>
  <sheetViews>
    <sheetView showGridLines="0" workbookViewId="0"/>
  </sheetViews>
  <sheetFormatPr defaultRowHeight="16" customHeight="1"/>
  <cols>
    <col min="1" max="8" width="11.7109375" customWidth="1"/>
    <col min="13" max="14" width="14.7109375" hidden="1" customWidth="1"/>
  </cols>
  <sheetData>
    <row r="1" spans="1:14" ht="16" customHeight="1">
      <c r="A1" s="8" t="s">
        <v>106</v>
      </c>
      <c r="B1" s="8"/>
      <c r="C1" s="8"/>
      <c r="D1" s="8"/>
      <c r="E1" s="8"/>
      <c r="F1" s="8"/>
      <c r="G1" s="8"/>
      <c r="H1" s="8"/>
    </row>
    <row r="2" spans="1:14" ht="16" customHeight="1">
      <c r="A2" s="8"/>
      <c r="B2" s="8"/>
      <c r="C2" s="8"/>
      <c r="D2" s="8"/>
      <c r="E2" s="8"/>
      <c r="F2" s="8"/>
      <c r="G2" s="8"/>
      <c r="H2" s="8"/>
    </row>
    <row r="3" spans="1:14" ht="16" customHeight="1">
      <c r="A3" s="9" t="s">
        <v>107</v>
      </c>
      <c r="B3" s="10"/>
      <c r="C3" s="10"/>
      <c r="D3" s="10"/>
      <c r="F3" s="9" t="s">
        <v>109</v>
      </c>
      <c r="G3" s="10"/>
      <c r="H3" s="10"/>
    </row>
    <row r="4" spans="1:14" ht="16" customHeight="1">
      <c r="A4" s="9" t="s">
        <v>108</v>
      </c>
      <c r="B4" s="10"/>
      <c r="C4" s="10"/>
      <c r="D4" s="10"/>
      <c r="F4" s="9" t="s">
        <v>110</v>
      </c>
      <c r="G4" s="10"/>
      <c r="H4" s="10"/>
    </row>
    <row r="5" spans="1:14" ht="16" customHeight="1">
      <c r="M5">
        <v>10</v>
      </c>
      <c r="N5">
        <v>13.6</v>
      </c>
    </row>
    <row r="6" spans="1:14" ht="16" customHeight="1">
      <c r="A6" s="11" t="s">
        <v>111</v>
      </c>
      <c r="B6" s="11"/>
      <c r="C6" s="11"/>
      <c r="D6" s="11"/>
      <c r="E6" s="11"/>
      <c r="F6" s="11"/>
      <c r="G6" s="11"/>
      <c r="H6" s="11"/>
      <c r="M6">
        <v>15</v>
      </c>
      <c r="N6">
        <v>17.3</v>
      </c>
    </row>
    <row r="7" spans="1:14" ht="16" customHeight="1">
      <c r="M7">
        <v>20</v>
      </c>
      <c r="N7">
        <v>22.3</v>
      </c>
    </row>
    <row r="8" spans="1:14" ht="16" customHeight="1">
      <c r="A8" s="9" t="s">
        <v>112</v>
      </c>
      <c r="B8" s="9"/>
      <c r="C8" s="9"/>
      <c r="D8" s="12">
        <v>50</v>
      </c>
      <c r="E8" s="12"/>
      <c r="F8" s="9" t="s">
        <v>3</v>
      </c>
      <c r="G8" s="9" t="s">
        <v>118</v>
      </c>
      <c r="H8" s="9"/>
      <c r="M8">
        <v>25</v>
      </c>
      <c r="N8">
        <v>28.5</v>
      </c>
    </row>
    <row r="9" spans="1:14" ht="16" customHeight="1">
      <c r="A9" s="9" t="s">
        <v>113</v>
      </c>
      <c r="B9" s="9"/>
      <c r="C9" s="9"/>
      <c r="D9" s="12">
        <v>54.5</v>
      </c>
      <c r="E9" s="12"/>
      <c r="F9" s="9" t="s">
        <v>5</v>
      </c>
      <c r="G9" s="13">
        <f>IFERROR(VLOOKUP(D8,$M$5:$N$22,2,FALSE),NA())</f>
        <v>54.5</v>
      </c>
      <c r="H9" s="13"/>
      <c r="M9">
        <v>32</v>
      </c>
      <c r="N9">
        <v>37.2</v>
      </c>
    </row>
    <row r="10" spans="1:14" ht="16" customHeight="1">
      <c r="A10" s="9" t="s">
        <v>114</v>
      </c>
      <c r="B10" s="9"/>
      <c r="C10" s="9"/>
      <c r="D10" s="12">
        <v>25</v>
      </c>
      <c r="E10" s="12"/>
      <c r="F10" s="9" t="s">
        <v>5</v>
      </c>
      <c r="G10" s="14" t="s">
        <v>119</v>
      </c>
      <c r="H10" s="14"/>
      <c r="M10">
        <v>40</v>
      </c>
      <c r="N10">
        <v>43.1</v>
      </c>
    </row>
    <row r="11" spans="1:14" ht="16" customHeight="1">
      <c r="A11" s="9" t="s">
        <v>115</v>
      </c>
      <c r="B11" s="9"/>
      <c r="C11" s="9"/>
      <c r="D11" s="12">
        <v>10</v>
      </c>
      <c r="E11" s="12"/>
      <c r="F11" s="9" t="s">
        <v>17</v>
      </c>
      <c r="G11" s="14"/>
      <c r="H11" s="14"/>
      <c r="M11">
        <v>50</v>
      </c>
      <c r="N11">
        <v>54.5</v>
      </c>
    </row>
    <row r="12" spans="1:14" ht="16" customHeight="1">
      <c r="A12" s="9" t="s">
        <v>116</v>
      </c>
      <c r="B12" s="9"/>
      <c r="C12" s="9"/>
      <c r="D12" s="12">
        <v>998.2</v>
      </c>
      <c r="E12" s="12"/>
      <c r="F12" s="9" t="s">
        <v>11</v>
      </c>
      <c r="G12" s="14"/>
      <c r="H12" s="14"/>
      <c r="M12">
        <v>65</v>
      </c>
      <c r="N12">
        <v>70.3</v>
      </c>
    </row>
    <row r="13" spans="1:14" ht="16" customHeight="1">
      <c r="A13" s="9" t="s">
        <v>117</v>
      </c>
      <c r="B13" s="9"/>
      <c r="C13" s="9"/>
      <c r="D13" s="12">
        <v>1.002</v>
      </c>
      <c r="E13" s="12"/>
      <c r="F13" s="9" t="s">
        <v>13</v>
      </c>
      <c r="G13" s="14"/>
      <c r="H13" s="14"/>
      <c r="M13">
        <v>80</v>
      </c>
      <c r="N13">
        <v>82.5</v>
      </c>
    </row>
    <row r="14" spans="1:14" ht="16" customHeight="1">
      <c r="A14" s="9" t="s">
        <v>83</v>
      </c>
      <c r="B14" s="9"/>
      <c r="C14" s="9"/>
      <c r="D14" s="12">
        <v>0.61</v>
      </c>
      <c r="E14" s="12"/>
      <c r="F14" s="9" t="s">
        <v>3</v>
      </c>
      <c r="G14" s="14"/>
      <c r="H14" s="14"/>
      <c r="M14">
        <v>100</v>
      </c>
      <c r="N14">
        <v>107.1</v>
      </c>
    </row>
    <row r="15" spans="1:14" ht="16" customHeight="1">
      <c r="A15" s="9" t="s">
        <v>14</v>
      </c>
      <c r="B15" s="9"/>
      <c r="C15" s="9"/>
      <c r="D15" s="12">
        <v>20</v>
      </c>
      <c r="E15" s="12"/>
      <c r="F15" s="9" t="s">
        <v>15</v>
      </c>
      <c r="G15" s="14"/>
      <c r="H15" s="14"/>
      <c r="M15">
        <v>125</v>
      </c>
      <c r="N15">
        <v>131.7</v>
      </c>
    </row>
    <row r="16" spans="1:14" ht="16" customHeight="1">
      <c r="M16">
        <v>150</v>
      </c>
      <c r="N16">
        <v>159.3</v>
      </c>
    </row>
    <row r="17" spans="1:14" ht="16" customHeight="1">
      <c r="A17" s="9" t="s">
        <v>120</v>
      </c>
      <c r="B17" s="9"/>
      <c r="C17" s="9"/>
      <c r="D17" s="13">
        <f>IFERROR(IF(AND(COUNTIF($M$5:$M$22,D8)=1,D9&gt;0,D10&gt;0,D11&gt;=0,D12&gt;0,D13&gt;0,D14&gt;0,D14&lt;1,D10/D9&gt;=0.2-1E-12,D10/D9&lt;=0.75+1E-12,OR(ISBLANK(D15),AND(ISNUMBER(D15),D15&gt;=-273.15)),ISNUMBER(D8),ISNUMBER(D9),ISNUMBER(D10),ISNUMBER(D11),ISNUMBER(D12),ISNUMBER(D13),ISNUMBER(D14)),1,0),0)</f>
        <v>0</v>
      </c>
      <c r="E17" s="13"/>
      <c r="M17">
        <v>200</v>
      </c>
      <c r="N17">
        <v>210.1</v>
      </c>
    </row>
    <row r="18" spans="1:14" ht="16" customHeight="1">
      <c r="A18" s="14" t="str">
        <f>IF(D17&lt;&gt;1,"UNGUELTIG: Eingaben pruefen; Ergebnisse nicht verwendbar.",IF(AND(D11&gt;0,D22&lt;10000),"WARNUNG: Re &lt; 10000, konstantes Cd besonders unsicher.","Modellannahmen pruefen; keine Kavitationserkennung, keine ISO-5167-Konformitaet."))</f>
        <v>Beim Oeffnen in Excel neu berechnen.</v>
      </c>
      <c r="B18" s="14"/>
      <c r="C18" s="14"/>
      <c r="D18" s="14"/>
      <c r="E18" s="14"/>
      <c r="F18" s="14"/>
      <c r="G18" s="14"/>
      <c r="H18" s="14"/>
      <c r="M18">
        <v>250</v>
      </c>
      <c r="N18">
        <v>263</v>
      </c>
    </row>
    <row r="19" spans="1:14" ht="16" customHeight="1">
      <c r="A19" s="14"/>
      <c r="B19" s="14"/>
      <c r="C19" s="14"/>
      <c r="D19" s="14"/>
      <c r="E19" s="14"/>
      <c r="F19" s="14"/>
      <c r="G19" s="14"/>
      <c r="H19" s="14"/>
      <c r="M19">
        <v>300</v>
      </c>
      <c r="N19">
        <v>312.7</v>
      </c>
    </row>
    <row r="20" spans="1:14" ht="16" customHeight="1">
      <c r="A20" s="9" t="s">
        <v>121</v>
      </c>
      <c r="B20" s="9"/>
      <c r="C20" s="9"/>
      <c r="D20" s="13" t="e">
        <f>IF($D$17=1,MAX(0.2,MIN(0.75,D10/D9)),NA())</f>
        <v>#N/A</v>
      </c>
      <c r="E20" s="13"/>
      <c r="F20" s="9" t="s">
        <v>3</v>
      </c>
      <c r="M20">
        <v>350</v>
      </c>
      <c r="N20">
        <v>344.4</v>
      </c>
    </row>
    <row r="21" spans="1:14" ht="16" customHeight="1">
      <c r="A21" s="9" t="s">
        <v>122</v>
      </c>
      <c r="B21" s="9"/>
      <c r="C21" s="9"/>
      <c r="D21" s="13" t="e">
        <f>IF($D$17=1,(D11/3600)/(PI()*(D9/1000)^2/4),NA())</f>
        <v>#N/A</v>
      </c>
      <c r="E21" s="13"/>
      <c r="F21" s="9" t="s">
        <v>123</v>
      </c>
      <c r="M21">
        <v>400</v>
      </c>
      <c r="N21">
        <v>393.8</v>
      </c>
    </row>
    <row r="22" spans="1:14" ht="16" customHeight="1">
      <c r="A22" s="9" t="s">
        <v>124</v>
      </c>
      <c r="B22" s="9"/>
      <c r="C22" s="9"/>
      <c r="D22" s="13" t="e">
        <f>IF($D$17=1,D12*D21*(D9/1000)/(D13/1000),NA())</f>
        <v>#N/A</v>
      </c>
      <c r="E22" s="13"/>
      <c r="F22" s="9" t="s">
        <v>3</v>
      </c>
      <c r="M22">
        <v>500</v>
      </c>
      <c r="N22">
        <v>493</v>
      </c>
    </row>
    <row r="23" spans="1:14" ht="16" customHeight="1">
      <c r="A23" s="9" t="s">
        <v>125</v>
      </c>
      <c r="B23" s="9"/>
      <c r="C23" s="9"/>
      <c r="D23" s="13" t="e">
        <f>IF($D$17=1,(SQRT(1-D20^4*(1-D14^2))/(D14*D20^2)-1)^2,NA())</f>
        <v>#N/A</v>
      </c>
      <c r="E23" s="13"/>
      <c r="F23" s="9" t="s">
        <v>3</v>
      </c>
    </row>
    <row r="24" spans="1:14" ht="16" customHeight="1">
      <c r="A24" s="9" t="s">
        <v>126</v>
      </c>
      <c r="B24" s="9"/>
      <c r="C24" s="9"/>
      <c r="D24" s="13" t="e">
        <f>IF($D$17=1,(1-D20^4)/(D14^2*D20^4)*D12*D21^2/200000,NA())</f>
        <v>#N/A</v>
      </c>
      <c r="E24" s="13"/>
      <c r="F24" s="9" t="s">
        <v>21</v>
      </c>
    </row>
    <row r="25" spans="1:14" ht="16" customHeight="1">
      <c r="A25" s="9" t="s">
        <v>127</v>
      </c>
      <c r="B25" s="9"/>
      <c r="C25" s="9"/>
      <c r="D25" s="13" t="e">
        <f>IF($D$17=1,D23*D12*D21^2/200000,NA())</f>
        <v>#N/A</v>
      </c>
      <c r="E25" s="13"/>
      <c r="F25" s="9" t="s">
        <v>21</v>
      </c>
    </row>
    <row r="26" spans="1:14" ht="16" customHeight="1">
      <c r="A26" s="9" t="s">
        <v>128</v>
      </c>
      <c r="B26" s="9"/>
      <c r="C26" s="9"/>
      <c r="D26" s="13" t="e">
        <f>IF($D$17=1,(D11/3600)/(PI()*(D10/1000)^2/4),NA())</f>
        <v>#N/A</v>
      </c>
      <c r="E26" s="13"/>
      <c r="F26" s="9" t="s">
        <v>123</v>
      </c>
    </row>
    <row r="28" spans="1:14" ht="16" customHeight="1">
      <c r="A28" s="11" t="s">
        <v>129</v>
      </c>
      <c r="B28" s="11"/>
      <c r="C28" s="11"/>
      <c r="D28" s="11"/>
      <c r="E28" s="11"/>
      <c r="F28" s="11"/>
      <c r="G28" s="11"/>
      <c r="H28" s="11"/>
    </row>
    <row r="29" spans="1:14" ht="22" customHeight="1">
      <c r="A29" s="15" t="s">
        <v>130</v>
      </c>
      <c r="B29" s="15"/>
      <c r="C29" s="15"/>
      <c r="D29" s="15"/>
      <c r="E29" s="15"/>
      <c r="F29" s="15"/>
      <c r="G29" s="15"/>
      <c r="H29" s="15"/>
    </row>
    <row r="30" spans="1:14" ht="22" customHeight="1">
      <c r="A30" s="15" t="s">
        <v>131</v>
      </c>
      <c r="B30" s="15"/>
      <c r="C30" s="15"/>
      <c r="D30" s="15"/>
      <c r="E30" s="15"/>
      <c r="F30" s="15"/>
      <c r="G30" s="15"/>
      <c r="H30" s="15"/>
    </row>
    <row r="31" spans="1:14" ht="22" customHeight="1">
      <c r="A31" s="15" t="s">
        <v>132</v>
      </c>
      <c r="B31" s="15"/>
      <c r="C31" s="15"/>
      <c r="D31" s="15"/>
      <c r="E31" s="15"/>
      <c r="F31" s="15"/>
      <c r="G31" s="15"/>
      <c r="H31" s="15"/>
    </row>
    <row r="32" spans="1:14" ht="22" customHeight="1">
      <c r="A32" s="15" t="s">
        <v>133</v>
      </c>
      <c r="B32" s="15"/>
      <c r="C32" s="15"/>
      <c r="D32" s="15"/>
      <c r="E32" s="15"/>
      <c r="F32" s="15"/>
      <c r="G32" s="15"/>
      <c r="H32" s="15"/>
    </row>
    <row r="33" spans="1:8" ht="22" customHeight="1">
      <c r="A33" s="15" t="s">
        <v>134</v>
      </c>
      <c r="B33" s="15"/>
      <c r="C33" s="15"/>
      <c r="D33" s="15"/>
      <c r="E33" s="15"/>
      <c r="F33" s="15"/>
      <c r="G33" s="15"/>
      <c r="H33" s="15"/>
    </row>
    <row r="34" spans="1:8" ht="22" customHeight="1">
      <c r="A34" s="15" t="s">
        <v>135</v>
      </c>
      <c r="B34" s="15"/>
      <c r="C34" s="15"/>
      <c r="D34" s="15"/>
      <c r="E34" s="15"/>
      <c r="F34" s="15"/>
      <c r="G34" s="15"/>
      <c r="H34" s="15"/>
    </row>
    <row r="36" spans="1:8" ht="16" customHeight="1">
      <c r="A36" s="11" t="s">
        <v>136</v>
      </c>
      <c r="B36" s="11"/>
      <c r="C36" s="11"/>
      <c r="D36" s="11"/>
      <c r="E36" s="11"/>
      <c r="F36" s="11"/>
      <c r="G36" s="11"/>
      <c r="H36" s="11"/>
    </row>
    <row r="37" spans="1:8" ht="16" customHeight="1">
      <c r="A37" s="9" t="s">
        <v>137</v>
      </c>
      <c r="B37" s="9"/>
      <c r="C37" s="9"/>
      <c r="D37" s="9"/>
      <c r="E37" s="9"/>
      <c r="F37" s="9"/>
      <c r="G37" s="9"/>
      <c r="H37" s="9"/>
    </row>
    <row r="38" spans="1:8" ht="16" customHeight="1">
      <c r="A38" s="9"/>
      <c r="B38" s="9"/>
      <c r="C38" s="9"/>
      <c r="D38" s="9"/>
      <c r="E38" s="9"/>
      <c r="F38" s="9"/>
      <c r="G38" s="9"/>
      <c r="H38" s="9"/>
    </row>
    <row r="39" spans="1:8" ht="16" customHeight="1">
      <c r="A39" s="9"/>
      <c r="B39" s="9"/>
      <c r="C39" s="9"/>
      <c r="D39" s="9"/>
      <c r="E39" s="9"/>
      <c r="F39" s="9"/>
      <c r="G39" s="9"/>
      <c r="H39" s="9"/>
    </row>
    <row r="40" spans="1:8" ht="16" customHeight="1">
      <c r="A40" s="9"/>
      <c r="B40" s="9"/>
      <c r="C40" s="9"/>
      <c r="D40" s="9"/>
      <c r="E40" s="9"/>
      <c r="F40" s="9"/>
      <c r="G40" s="9"/>
      <c r="H40" s="9"/>
    </row>
    <row r="41" spans="1:8" ht="16" customHeight="1">
      <c r="A41" s="9"/>
      <c r="B41" s="9"/>
      <c r="C41" s="9"/>
      <c r="D41" s="9"/>
      <c r="E41" s="9"/>
      <c r="F41" s="9"/>
      <c r="G41" s="9"/>
      <c r="H41" s="9"/>
    </row>
    <row r="43" spans="1:8" ht="16" customHeight="1">
      <c r="A43" s="14" t="s">
        <v>138</v>
      </c>
      <c r="B43" s="14"/>
      <c r="C43" s="14"/>
      <c r="D43" s="14"/>
      <c r="E43" s="14"/>
      <c r="F43" s="14"/>
      <c r="G43" s="14"/>
      <c r="H43" s="14"/>
    </row>
    <row r="44" spans="1:8" ht="16" customHeight="1">
      <c r="A44" s="14"/>
      <c r="B44" s="14"/>
      <c r="C44" s="14"/>
      <c r="D44" s="14"/>
      <c r="E44" s="14"/>
      <c r="F44" s="14"/>
      <c r="G44" s="14"/>
      <c r="H44" s="14"/>
    </row>
    <row r="45" spans="1:8" ht="16" customHeight="1">
      <c r="A45" s="14"/>
      <c r="B45" s="14"/>
      <c r="C45" s="14"/>
      <c r="D45" s="14"/>
      <c r="E45" s="14"/>
      <c r="F45" s="14"/>
      <c r="G45" s="14"/>
      <c r="H45" s="14"/>
    </row>
    <row r="47" spans="1:8" ht="16" customHeight="1">
      <c r="A47" s="9" t="s">
        <v>139</v>
      </c>
      <c r="B47" s="9"/>
      <c r="C47" s="9"/>
      <c r="D47" s="9"/>
      <c r="E47" s="9"/>
      <c r="F47" s="9"/>
      <c r="G47" s="9"/>
      <c r="H47" s="9"/>
    </row>
    <row r="48" spans="1:8" ht="16" customHeight="1">
      <c r="A48" s="9"/>
      <c r="B48" s="9"/>
      <c r="C48" s="9"/>
      <c r="D48" s="9"/>
      <c r="E48" s="9"/>
      <c r="F48" s="9"/>
      <c r="G48" s="9"/>
      <c r="H48" s="9"/>
    </row>
  </sheetData>
  <mergeCells count="53">
    <mergeCell ref="A1:H2"/>
    <mergeCell ref="B3:D3"/>
    <mergeCell ref="B4:D4"/>
    <mergeCell ref="G3:H3"/>
    <mergeCell ref="G4:H4"/>
    <mergeCell ref="A6:H6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G8:H8"/>
    <mergeCell ref="G9:H9"/>
    <mergeCell ref="G10:H15"/>
    <mergeCell ref="A17:C17"/>
    <mergeCell ref="D17:E17"/>
    <mergeCell ref="A18:H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8:H28"/>
    <mergeCell ref="A29:H29"/>
    <mergeCell ref="A30:H30"/>
    <mergeCell ref="A31:H31"/>
    <mergeCell ref="A32:H32"/>
    <mergeCell ref="A33:H33"/>
    <mergeCell ref="A34:H34"/>
    <mergeCell ref="A36:H36"/>
    <mergeCell ref="A37:H41"/>
    <mergeCell ref="A43:H45"/>
    <mergeCell ref="A47:H48"/>
  </mergeCells>
  <dataValidations count="1">
    <dataValidation type="list" allowBlank="1" showInputMessage="1" showErrorMessage="1" sqref="D8">
      <formula1>$M$5:$M$22</formula1>
    </dataValidation>
  </dataValidations>
  <pageMargins left="0.3" right="0.3" top="0.35" bottom="0.35" header="0.3" footer="0.3"/>
  <pageSetup paperSize="9" orientation="portrait"/>
  <headerFooter>
    <oddHeader>&amp;C&amp;BDruckverlust | Engineering&amp;B</oddHeader>
    <oddFooter>&amp;L&amp;D&amp;RSeite &amp;P von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U46"/>
  <sheetViews>
    <sheetView showGridLines="0" workbookViewId="0"/>
  </sheetViews>
  <sheetFormatPr defaultRowHeight="16" customHeight="1"/>
  <cols>
    <col min="1" max="8" width="11.7109375" customWidth="1"/>
    <col min="14" max="21" width="15.7109375" hidden="1" customWidth="1"/>
  </cols>
  <sheetData>
    <row r="1" spans="1:8" ht="16" customHeight="1">
      <c r="A1" s="8" t="s">
        <v>140</v>
      </c>
      <c r="B1" s="8"/>
      <c r="C1" s="8"/>
      <c r="D1" s="8"/>
      <c r="E1" s="8"/>
      <c r="F1" s="8"/>
      <c r="G1" s="8"/>
      <c r="H1" s="8"/>
    </row>
    <row r="2" spans="1:8" ht="16" customHeight="1">
      <c r="A2" s="8"/>
      <c r="B2" s="8"/>
      <c r="C2" s="8"/>
      <c r="D2" s="8"/>
      <c r="E2" s="8"/>
      <c r="F2" s="8"/>
      <c r="G2" s="8"/>
      <c r="H2" s="8"/>
    </row>
    <row r="3" spans="1:8" ht="16" customHeight="1">
      <c r="A3" s="9" t="s">
        <v>107</v>
      </c>
      <c r="B3" s="10"/>
      <c r="C3" s="10"/>
      <c r="D3" s="10"/>
      <c r="F3" s="9" t="s">
        <v>109</v>
      </c>
      <c r="G3" s="10"/>
      <c r="H3" s="10"/>
    </row>
    <row r="4" spans="1:8" ht="16" customHeight="1">
      <c r="A4" s="9" t="s">
        <v>108</v>
      </c>
      <c r="B4" s="10"/>
      <c r="C4" s="10"/>
      <c r="D4" s="10"/>
      <c r="F4" s="9" t="s">
        <v>110</v>
      </c>
      <c r="G4" s="10"/>
      <c r="H4" s="10"/>
    </row>
    <row r="5" spans="1:8" ht="16" customHeight="1">
      <c r="A5" s="9" t="s">
        <v>141</v>
      </c>
      <c r="B5" s="9"/>
      <c r="C5" s="9"/>
      <c r="D5" s="12">
        <v>0</v>
      </c>
    </row>
    <row r="6" spans="1:8" ht="16" customHeight="1">
      <c r="A6" s="14" t="s">
        <v>142</v>
      </c>
      <c r="B6" s="14"/>
      <c r="C6" s="14"/>
      <c r="D6" s="14"/>
      <c r="E6" s="14"/>
      <c r="F6" s="14"/>
      <c r="G6" s="14"/>
      <c r="H6" s="14"/>
    </row>
    <row r="7" spans="1:8" ht="16" customHeight="1">
      <c r="A7" s="14"/>
      <c r="B7" s="14"/>
      <c r="C7" s="14"/>
      <c r="D7" s="14"/>
      <c r="E7" s="14"/>
      <c r="F7" s="14"/>
      <c r="G7" s="14"/>
      <c r="H7" s="14"/>
    </row>
    <row r="8" spans="1:8" ht="16" customHeight="1">
      <c r="A8" s="9" t="s">
        <v>143</v>
      </c>
      <c r="B8" s="9"/>
      <c r="C8" s="9"/>
      <c r="D8" s="9"/>
      <c r="E8" s="9"/>
      <c r="F8" s="9"/>
      <c r="G8" s="9"/>
      <c r="H8" s="9"/>
    </row>
    <row r="9" spans="1:8" ht="16" customHeight="1">
      <c r="A9" s="9"/>
      <c r="B9" s="9"/>
      <c r="C9" s="9"/>
      <c r="D9" s="9"/>
      <c r="E9" s="9"/>
      <c r="F9" s="9"/>
      <c r="G9" s="9"/>
      <c r="H9" s="9"/>
    </row>
    <row r="10" spans="1:8" ht="16" customHeight="1">
      <c r="A10" s="9"/>
      <c r="B10" s="9"/>
      <c r="C10" s="9"/>
      <c r="D10" s="9"/>
      <c r="E10" s="9"/>
      <c r="F10" s="9"/>
      <c r="G10" s="9"/>
      <c r="H10" s="9"/>
    </row>
    <row r="11" spans="1:8" ht="16" customHeight="1">
      <c r="A11" s="14" t="s">
        <v>144</v>
      </c>
      <c r="B11" s="14"/>
      <c r="C11" s="14"/>
      <c r="D11" s="14"/>
      <c r="E11" s="14"/>
      <c r="F11" s="14"/>
      <c r="G11" s="14"/>
      <c r="H11" s="14"/>
    </row>
    <row r="12" spans="1:8" ht="16" customHeight="1">
      <c r="A12" s="14"/>
      <c r="B12" s="14"/>
      <c r="C12" s="14"/>
      <c r="D12" s="14"/>
      <c r="E12" s="14"/>
      <c r="F12" s="14"/>
      <c r="G12" s="14"/>
      <c r="H12" s="14"/>
    </row>
    <row r="13" spans="1:8" ht="16" customHeight="1">
      <c r="A13" s="14"/>
      <c r="B13" s="14"/>
      <c r="C13" s="14"/>
      <c r="D13" s="14"/>
      <c r="E13" s="14"/>
      <c r="F13" s="14"/>
      <c r="G13" s="14"/>
      <c r="H13" s="14"/>
    </row>
    <row r="30" spans="1:8" ht="16" customHeight="1">
      <c r="A30" s="11" t="s">
        <v>145</v>
      </c>
      <c r="B30" s="11"/>
      <c r="C30" s="11"/>
      <c r="D30" s="11"/>
      <c r="E30" s="11"/>
      <c r="F30" s="11"/>
      <c r="G30" s="11"/>
      <c r="H30" s="11"/>
    </row>
    <row r="31" spans="1:8" ht="22" customHeight="1">
      <c r="A31" s="15" t="s">
        <v>146</v>
      </c>
      <c r="B31" s="15"/>
      <c r="C31" s="15"/>
      <c r="D31" s="15"/>
      <c r="E31" s="15"/>
      <c r="F31" s="15"/>
      <c r="G31" s="15"/>
      <c r="H31" s="15"/>
    </row>
    <row r="32" spans="1:8" ht="22" customHeight="1">
      <c r="A32" s="15" t="s">
        <v>147</v>
      </c>
      <c r="B32" s="15"/>
      <c r="C32" s="15"/>
      <c r="D32" s="15"/>
      <c r="E32" s="15"/>
      <c r="F32" s="15"/>
      <c r="G32" s="15"/>
      <c r="H32" s="15"/>
    </row>
    <row r="33" spans="1:8" ht="22" customHeight="1">
      <c r="A33" s="15" t="s">
        <v>148</v>
      </c>
      <c r="B33" s="15"/>
      <c r="C33" s="15"/>
      <c r="D33" s="15"/>
      <c r="E33" s="15"/>
      <c r="F33" s="15"/>
      <c r="G33" s="15"/>
      <c r="H33" s="15"/>
    </row>
    <row r="34" spans="1:8" ht="22" customHeight="1">
      <c r="A34" s="15" t="s">
        <v>149</v>
      </c>
      <c r="B34" s="15"/>
      <c r="C34" s="15"/>
      <c r="D34" s="15"/>
      <c r="E34" s="15"/>
      <c r="F34" s="15"/>
      <c r="G34" s="15"/>
      <c r="H34" s="15"/>
    </row>
    <row r="35" spans="1:8" ht="22" customHeight="1">
      <c r="A35" s="15" t="s">
        <v>150</v>
      </c>
      <c r="B35" s="15"/>
      <c r="C35" s="15"/>
      <c r="D35" s="15"/>
      <c r="E35" s="15"/>
      <c r="F35" s="15"/>
      <c r="G35" s="15"/>
      <c r="H35" s="15"/>
    </row>
    <row r="36" spans="1:8" ht="22" customHeight="1">
      <c r="A36" s="15" t="s">
        <v>151</v>
      </c>
      <c r="B36" s="15"/>
      <c r="C36" s="15"/>
      <c r="D36" s="15"/>
      <c r="E36" s="15"/>
      <c r="F36" s="15"/>
      <c r="G36" s="15"/>
      <c r="H36" s="15"/>
    </row>
    <row r="38" spans="1:8" ht="16" customHeight="1">
      <c r="A38" s="9" t="s">
        <v>152</v>
      </c>
      <c r="B38" s="9"/>
      <c r="C38" s="9"/>
      <c r="D38" s="9"/>
      <c r="E38" s="9"/>
      <c r="F38" s="9"/>
      <c r="G38" s="9"/>
      <c r="H38" s="9"/>
    </row>
    <row r="39" spans="1:8" ht="16" customHeight="1">
      <c r="A39" s="9"/>
      <c r="B39" s="9"/>
      <c r="C39" s="9"/>
      <c r="D39" s="9"/>
      <c r="E39" s="9"/>
      <c r="F39" s="9"/>
      <c r="G39" s="9"/>
      <c r="H39" s="9"/>
    </row>
    <row r="40" spans="1:8" ht="16" customHeight="1">
      <c r="A40" s="9"/>
      <c r="B40" s="9"/>
      <c r="C40" s="9"/>
      <c r="D40" s="9"/>
      <c r="E40" s="9"/>
      <c r="F40" s="9"/>
      <c r="G40" s="9"/>
      <c r="H40" s="9"/>
    </row>
    <row r="41" spans="1:8" ht="16" customHeight="1">
      <c r="A41" s="9"/>
      <c r="B41" s="9"/>
      <c r="C41" s="9"/>
      <c r="D41" s="9"/>
      <c r="E41" s="9"/>
      <c r="F41" s="9"/>
      <c r="G41" s="9"/>
      <c r="H41" s="9"/>
    </row>
    <row r="43" spans="1:8" ht="16" customHeight="1">
      <c r="A43" s="9" t="s">
        <v>153</v>
      </c>
      <c r="B43" s="9"/>
      <c r="C43" s="9"/>
      <c r="D43" s="9"/>
      <c r="E43" s="9"/>
      <c r="F43" s="9"/>
      <c r="G43" s="9"/>
      <c r="H43" s="9"/>
    </row>
    <row r="44" spans="1:8" ht="16" customHeight="1">
      <c r="A44" s="9"/>
      <c r="B44" s="9"/>
      <c r="C44" s="9"/>
      <c r="D44" s="9"/>
      <c r="E44" s="9"/>
      <c r="F44" s="9"/>
      <c r="G44" s="9"/>
      <c r="H44" s="9"/>
    </row>
    <row r="46" spans="1:8" ht="16" customHeight="1">
      <c r="A46" s="11" t="s">
        <v>154</v>
      </c>
      <c r="B46" s="11"/>
      <c r="C46" s="11"/>
      <c r="D46" s="11"/>
      <c r="E46" s="11"/>
      <c r="F46" s="11"/>
      <c r="G46" s="11"/>
      <c r="H46" s="11"/>
    </row>
  </sheetData>
  <mergeCells count="19">
    <mergeCell ref="A1:H2"/>
    <mergeCell ref="B3:D3"/>
    <mergeCell ref="G3:H3"/>
    <mergeCell ref="B4:D4"/>
    <mergeCell ref="G4:H4"/>
    <mergeCell ref="A5:C5"/>
    <mergeCell ref="A6:H7"/>
    <mergeCell ref="A8:H10"/>
    <mergeCell ref="A11:H13"/>
    <mergeCell ref="A30:H30"/>
    <mergeCell ref="A31:H31"/>
    <mergeCell ref="A32:H32"/>
    <mergeCell ref="A33:H33"/>
    <mergeCell ref="A34:H34"/>
    <mergeCell ref="A35:H35"/>
    <mergeCell ref="A36:H36"/>
    <mergeCell ref="A38:H41"/>
    <mergeCell ref="A43:H44"/>
    <mergeCell ref="A46:H46"/>
  </mergeCells>
  <dataValidations count="1">
    <dataValidation type="whole" allowBlank="1" showInputMessage="1" showErrorMessage="1" sqref="D5">
      <formula1>0</formula1>
      <formula2>1</formula2>
    </dataValidation>
  </dataValidations>
  <pageMargins left="0.3" right="0.3" top="0.35" bottom="0.35" header="0.3" footer="0.3"/>
  <pageSetup paperSize="9" scale="95" orientation="portrait"/>
  <headerFooter>
    <oddHeader>&amp;C&amp;BDruckverlust | Engineering&amp;B</oddHeader>
    <oddFooter>&amp;L&amp;D&amp;RSeite &amp;P von &amp;N</oddFooter>
  </headerFooter>
  <rowBreaks count="1" manualBreakCount="1">
    <brk id="4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8"/>
  <sheetViews>
    <sheetView showGridLines="0" workbookViewId="0"/>
  </sheetViews>
  <sheetFormatPr defaultRowHeight="16" customHeight="1"/>
  <cols>
    <col min="1" max="8" width="11.7109375" customWidth="1"/>
  </cols>
  <sheetData>
    <row r="1" spans="1:8" ht="16" customHeight="1">
      <c r="A1" s="8" t="s">
        <v>155</v>
      </c>
      <c r="B1" s="8"/>
      <c r="C1" s="8"/>
      <c r="D1" s="8"/>
      <c r="E1" s="8"/>
      <c r="F1" s="8"/>
      <c r="G1" s="8"/>
      <c r="H1" s="8"/>
    </row>
    <row r="2" spans="1:8" ht="16" customHeight="1">
      <c r="A2" s="8"/>
      <c r="B2" s="8"/>
      <c r="C2" s="8"/>
      <c r="D2" s="8"/>
      <c r="E2" s="8"/>
      <c r="F2" s="8"/>
      <c r="G2" s="8"/>
      <c r="H2" s="8"/>
    </row>
    <row r="3" spans="1:8" ht="16" customHeight="1">
      <c r="A3" s="9" t="s">
        <v>107</v>
      </c>
      <c r="B3" s="16"/>
      <c r="C3" s="16"/>
      <c r="D3" s="16"/>
      <c r="F3" s="9" t="s">
        <v>109</v>
      </c>
      <c r="G3" s="16"/>
      <c r="H3" s="16"/>
    </row>
    <row r="4" spans="1:8" ht="16" customHeight="1">
      <c r="A4" s="9" t="s">
        <v>108</v>
      </c>
      <c r="B4" s="16"/>
      <c r="C4" s="16"/>
      <c r="D4" s="16"/>
      <c r="F4" s="9" t="s">
        <v>110</v>
      </c>
      <c r="G4" s="16"/>
      <c r="H4" s="16"/>
    </row>
    <row r="6" spans="1:8" ht="16" customHeight="1">
      <c r="A6" s="11" t="s">
        <v>156</v>
      </c>
      <c r="B6" s="11"/>
      <c r="C6" s="11"/>
      <c r="D6" s="11"/>
      <c r="E6" s="11"/>
      <c r="F6" s="11"/>
      <c r="G6" s="11"/>
      <c r="H6" s="11"/>
    </row>
    <row r="8" spans="1:8" ht="16" customHeight="1">
      <c r="A8" s="9" t="s">
        <v>115</v>
      </c>
      <c r="B8" s="9"/>
      <c r="C8" s="9"/>
      <c r="D8" s="17">
        <v>10</v>
      </c>
      <c r="E8" s="17"/>
      <c r="F8" s="9" t="s">
        <v>17</v>
      </c>
      <c r="G8" s="14" t="s">
        <v>159</v>
      </c>
      <c r="H8" s="14"/>
    </row>
    <row r="9" spans="1:8" ht="16" customHeight="1">
      <c r="A9" s="9" t="s">
        <v>157</v>
      </c>
      <c r="B9" s="9"/>
      <c r="C9" s="9"/>
      <c r="D9" s="17">
        <v>10</v>
      </c>
      <c r="E9" s="17"/>
      <c r="F9" s="9" t="s">
        <v>17</v>
      </c>
      <c r="G9" s="14"/>
      <c r="H9" s="14"/>
    </row>
    <row r="10" spans="1:8" ht="16" customHeight="1">
      <c r="A10" s="9" t="s">
        <v>116</v>
      </c>
      <c r="B10" s="9"/>
      <c r="C10" s="9"/>
      <c r="D10" s="17">
        <v>1000</v>
      </c>
      <c r="E10" s="17"/>
      <c r="F10" s="9" t="s">
        <v>11</v>
      </c>
      <c r="G10" s="14"/>
      <c r="H10" s="14"/>
    </row>
    <row r="11" spans="1:8" ht="16" customHeight="1">
      <c r="A11" s="9" t="s">
        <v>104</v>
      </c>
      <c r="B11" s="9"/>
      <c r="C11" s="9"/>
      <c r="D11" s="17">
        <v>1</v>
      </c>
      <c r="E11" s="17"/>
      <c r="F11" s="9" t="s">
        <v>3</v>
      </c>
      <c r="G11" s="14"/>
      <c r="H11" s="14"/>
    </row>
    <row r="12" spans="1:8" ht="16" customHeight="1">
      <c r="A12" s="9" t="s">
        <v>158</v>
      </c>
      <c r="B12" s="9"/>
      <c r="C12" s="9"/>
      <c r="D12" s="17">
        <v>1</v>
      </c>
      <c r="E12" s="17"/>
      <c r="F12" s="9" t="s">
        <v>13</v>
      </c>
      <c r="G12" s="14"/>
      <c r="H12" s="14"/>
    </row>
    <row r="13" spans="1:8" ht="16" customHeight="1">
      <c r="A13" s="9" t="s">
        <v>14</v>
      </c>
      <c r="B13" s="9"/>
      <c r="C13" s="9"/>
      <c r="D13" s="17">
        <v>20</v>
      </c>
      <c r="E13" s="17"/>
      <c r="F13" s="9" t="s">
        <v>15</v>
      </c>
      <c r="G13" s="14"/>
      <c r="H13" s="14"/>
    </row>
    <row r="16" spans="1:8" ht="16" customHeight="1">
      <c r="A16" s="9" t="s">
        <v>120</v>
      </c>
      <c r="B16" s="9"/>
      <c r="C16" s="9"/>
      <c r="D16" s="13">
        <f>IFERROR(IF(AND(ISNUMBER(D8),ISNUMBER(D9),ISNUMBER(D10),ISNUMBER(D11),ISNUMBER(D12),D8&gt;=0,D9&gt;0,D10&gt;0,D11&gt;=1,D11&lt;=1000,D11=INT(D11),D12&gt;0,OR(ISBLANK(D13),AND(ISNUMBER(D13),D13&gt;=-273.15))),1,0),0)</f>
        <v>0</v>
      </c>
      <c r="E16" s="13"/>
    </row>
    <row r="17" spans="1:8" ht="16" customHeight="1">
      <c r="A17" s="14" t="str">
        <f>IF(D16&lt;&gt;1,"UNGUELTIG: Eingaben pruefen; Ergebnisse nicht verwendbar.","Kv-Naeherung: turbulent, konstante Oeffnung, nicht kavitierend. Herstellergrenzen pruefen; keine Viskositaetskorrektur.")</f>
        <v>Beim Oeffnen in Excel neu berechnen.</v>
      </c>
      <c r="B17" s="14"/>
      <c r="C17" s="14"/>
      <c r="D17" s="14"/>
      <c r="E17" s="14"/>
      <c r="F17" s="14"/>
      <c r="G17" s="14"/>
      <c r="H17" s="14"/>
    </row>
    <row r="18" spans="1:8" ht="16" customHeight="1">
      <c r="A18" s="14"/>
      <c r="B18" s="14"/>
      <c r="C18" s="14"/>
      <c r="D18" s="14"/>
      <c r="E18" s="14"/>
      <c r="F18" s="14"/>
      <c r="G18" s="14"/>
      <c r="H18" s="14"/>
    </row>
    <row r="19" spans="1:8" ht="16" customHeight="1">
      <c r="A19" s="14"/>
      <c r="B19" s="14"/>
      <c r="C19" s="14"/>
      <c r="D19" s="14"/>
      <c r="E19" s="14"/>
      <c r="F19" s="14"/>
      <c r="G19" s="14"/>
      <c r="H19" s="14"/>
    </row>
    <row r="21" spans="1:8" ht="16" customHeight="1">
      <c r="A21" s="9" t="s">
        <v>160</v>
      </c>
      <c r="B21" s="9"/>
      <c r="C21" s="9"/>
      <c r="D21" s="13" t="e">
        <f>IF($D$16=1,(D10/1000)*(D8/D9)^2,NA())</f>
        <v>#N/A</v>
      </c>
      <c r="E21" s="13"/>
      <c r="F21" s="9" t="s">
        <v>21</v>
      </c>
    </row>
    <row r="22" spans="1:8" ht="16" customHeight="1">
      <c r="A22" s="9" t="s">
        <v>161</v>
      </c>
      <c r="B22" s="9"/>
      <c r="C22" s="9"/>
      <c r="D22" s="13" t="e">
        <f>IF($D$16=1,D11*(D10/1000)*(D8/D9)^2,NA())</f>
        <v>#N/A</v>
      </c>
      <c r="E22" s="13"/>
      <c r="F22" s="9" t="s">
        <v>21</v>
      </c>
    </row>
    <row r="23" spans="1:8" ht="16" customHeight="1">
      <c r="A23" s="9" t="s">
        <v>162</v>
      </c>
      <c r="B23" s="9"/>
      <c r="C23" s="9"/>
      <c r="D23" s="13" t="e">
        <f>IF($D$16=1,D22*100000,NA())</f>
        <v>#N/A</v>
      </c>
      <c r="E23" s="13"/>
      <c r="F23" s="9" t="s">
        <v>163</v>
      </c>
    </row>
    <row r="24" spans="1:8" ht="16" customHeight="1">
      <c r="A24" s="9" t="s">
        <v>164</v>
      </c>
      <c r="B24" s="9"/>
      <c r="C24" s="9"/>
      <c r="D24" s="13" t="e">
        <f>IF($D$16=1,D22*100000/(D10*9.80665),NA())</f>
        <v>#N/A</v>
      </c>
      <c r="E24" s="13"/>
      <c r="F24" s="9" t="s">
        <v>7</v>
      </c>
    </row>
    <row r="27" spans="1:8" ht="16" customHeight="1">
      <c r="A27" s="11" t="s">
        <v>165</v>
      </c>
      <c r="B27" s="11"/>
      <c r="C27" s="11"/>
      <c r="D27" s="11"/>
      <c r="E27" s="11"/>
      <c r="F27" s="11"/>
      <c r="G27" s="11"/>
      <c r="H27" s="11"/>
    </row>
    <row r="28" spans="1:8" ht="22" customHeight="1">
      <c r="A28" s="15" t="s">
        <v>166</v>
      </c>
      <c r="B28" s="15"/>
      <c r="C28" s="15"/>
      <c r="D28" s="15"/>
      <c r="E28" s="15"/>
      <c r="F28" s="15"/>
      <c r="G28" s="15"/>
      <c r="H28" s="15"/>
    </row>
    <row r="29" spans="1:8" ht="22" customHeight="1">
      <c r="A29" s="15" t="s">
        <v>167</v>
      </c>
      <c r="B29" s="15"/>
      <c r="C29" s="15"/>
      <c r="D29" s="15"/>
      <c r="E29" s="15"/>
      <c r="F29" s="15"/>
      <c r="G29" s="15"/>
      <c r="H29" s="15"/>
    </row>
    <row r="30" spans="1:8" ht="22" customHeight="1">
      <c r="A30" s="15" t="s">
        <v>168</v>
      </c>
      <c r="B30" s="15"/>
      <c r="C30" s="15"/>
      <c r="D30" s="15"/>
      <c r="E30" s="15"/>
      <c r="F30" s="15"/>
      <c r="G30" s="15"/>
      <c r="H30" s="15"/>
    </row>
    <row r="31" spans="1:8" ht="22" customHeight="1">
      <c r="A31" s="15" t="s">
        <v>169</v>
      </c>
      <c r="B31" s="15"/>
      <c r="C31" s="15"/>
      <c r="D31" s="15"/>
      <c r="E31" s="15"/>
      <c r="F31" s="15"/>
      <c r="G31" s="15"/>
      <c r="H31" s="15"/>
    </row>
    <row r="32" spans="1:8" ht="22" customHeight="1">
      <c r="A32" s="15" t="s">
        <v>170</v>
      </c>
      <c r="B32" s="15"/>
      <c r="C32" s="15"/>
      <c r="D32" s="15"/>
      <c r="E32" s="15"/>
      <c r="F32" s="15"/>
      <c r="G32" s="15"/>
      <c r="H32" s="15"/>
    </row>
    <row r="33" spans="1:8" ht="22" customHeight="1">
      <c r="A33" s="15" t="s">
        <v>171</v>
      </c>
      <c r="B33" s="15"/>
      <c r="C33" s="15"/>
      <c r="D33" s="15"/>
      <c r="E33" s="15"/>
      <c r="F33" s="15"/>
      <c r="G33" s="15"/>
      <c r="H33" s="15"/>
    </row>
    <row r="35" spans="1:8" ht="16" customHeight="1">
      <c r="A35" s="11" t="s">
        <v>136</v>
      </c>
      <c r="B35" s="11"/>
      <c r="C35" s="11"/>
      <c r="D35" s="11"/>
      <c r="E35" s="11"/>
      <c r="F35" s="11"/>
      <c r="G35" s="11"/>
      <c r="H35" s="11"/>
    </row>
    <row r="36" spans="1:8" ht="16" customHeight="1">
      <c r="A36" s="9" t="s">
        <v>172</v>
      </c>
      <c r="B36" s="9"/>
      <c r="C36" s="9"/>
      <c r="D36" s="9"/>
      <c r="E36" s="9"/>
      <c r="F36" s="9"/>
      <c r="G36" s="9"/>
      <c r="H36" s="9"/>
    </row>
    <row r="37" spans="1:8" ht="16" customHeight="1">
      <c r="A37" s="9"/>
      <c r="B37" s="9"/>
      <c r="C37" s="9"/>
      <c r="D37" s="9"/>
      <c r="E37" s="9"/>
      <c r="F37" s="9"/>
      <c r="G37" s="9"/>
      <c r="H37" s="9"/>
    </row>
    <row r="38" spans="1:8" ht="16" customHeight="1">
      <c r="A38" s="9"/>
      <c r="B38" s="9"/>
      <c r="C38" s="9"/>
      <c r="D38" s="9"/>
      <c r="E38" s="9"/>
      <c r="F38" s="9"/>
      <c r="G38" s="9"/>
      <c r="H38" s="9"/>
    </row>
    <row r="39" spans="1:8" ht="16" customHeight="1">
      <c r="A39" s="9"/>
      <c r="B39" s="9"/>
      <c r="C39" s="9"/>
      <c r="D39" s="9"/>
      <c r="E39" s="9"/>
      <c r="F39" s="9"/>
      <c r="G39" s="9"/>
      <c r="H39" s="9"/>
    </row>
    <row r="40" spans="1:8" ht="16" customHeight="1">
      <c r="A40" s="9"/>
      <c r="B40" s="9"/>
      <c r="C40" s="9"/>
      <c r="D40" s="9"/>
      <c r="E40" s="9"/>
      <c r="F40" s="9"/>
      <c r="G40" s="9"/>
      <c r="H40" s="9"/>
    </row>
    <row r="41" spans="1:8" ht="16" customHeight="1">
      <c r="A41" s="9"/>
      <c r="B41" s="9"/>
      <c r="C41" s="9"/>
      <c r="D41" s="9"/>
      <c r="E41" s="9"/>
      <c r="F41" s="9"/>
      <c r="G41" s="9"/>
      <c r="H41" s="9"/>
    </row>
    <row r="43" spans="1:8" ht="16" customHeight="1">
      <c r="A43" s="14" t="s">
        <v>173</v>
      </c>
      <c r="B43" s="14"/>
      <c r="C43" s="14"/>
      <c r="D43" s="14"/>
      <c r="E43" s="14"/>
      <c r="F43" s="14"/>
      <c r="G43" s="14"/>
      <c r="H43" s="14"/>
    </row>
    <row r="44" spans="1:8" ht="16" customHeight="1">
      <c r="A44" s="14"/>
      <c r="B44" s="14"/>
      <c r="C44" s="14"/>
      <c r="D44" s="14"/>
      <c r="E44" s="14"/>
      <c r="F44" s="14"/>
      <c r="G44" s="14"/>
      <c r="H44" s="14"/>
    </row>
    <row r="45" spans="1:8" ht="16" customHeight="1">
      <c r="A45" s="14"/>
      <c r="B45" s="14"/>
      <c r="C45" s="14"/>
      <c r="D45" s="14"/>
      <c r="E45" s="14"/>
      <c r="F45" s="14"/>
      <c r="G45" s="14"/>
      <c r="H45" s="14"/>
    </row>
    <row r="47" spans="1:8" ht="16" customHeight="1">
      <c r="A47" s="9" t="s">
        <v>174</v>
      </c>
      <c r="B47" s="9"/>
      <c r="C47" s="9"/>
      <c r="D47" s="9"/>
      <c r="E47" s="9"/>
      <c r="F47" s="9"/>
      <c r="G47" s="9"/>
      <c r="H47" s="9"/>
    </row>
    <row r="48" spans="1:8" ht="16" customHeight="1">
      <c r="A48" s="9"/>
      <c r="B48" s="9"/>
      <c r="C48" s="9"/>
      <c r="D48" s="9"/>
      <c r="E48" s="9"/>
      <c r="F48" s="9"/>
      <c r="G48" s="9"/>
      <c r="H48" s="9"/>
    </row>
  </sheetData>
  <mergeCells count="41">
    <mergeCell ref="A1:H2"/>
    <mergeCell ref="B3:D3"/>
    <mergeCell ref="B4:D4"/>
    <mergeCell ref="G3:H3"/>
    <mergeCell ref="G4:H4"/>
    <mergeCell ref="A6:H6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G8:H13"/>
    <mergeCell ref="A16:C16"/>
    <mergeCell ref="D16:E16"/>
    <mergeCell ref="A17:H19"/>
    <mergeCell ref="A21:C21"/>
    <mergeCell ref="D21:E21"/>
    <mergeCell ref="A22:C22"/>
    <mergeCell ref="D22:E22"/>
    <mergeCell ref="A23:C23"/>
    <mergeCell ref="D23:E23"/>
    <mergeCell ref="A24:C24"/>
    <mergeCell ref="D24:E24"/>
    <mergeCell ref="A27:H27"/>
    <mergeCell ref="A28:H28"/>
    <mergeCell ref="A29:H29"/>
    <mergeCell ref="A30:H30"/>
    <mergeCell ref="A31:H31"/>
    <mergeCell ref="A32:H32"/>
    <mergeCell ref="A33:H33"/>
    <mergeCell ref="A35:H35"/>
    <mergeCell ref="A36:H41"/>
    <mergeCell ref="A43:H45"/>
    <mergeCell ref="A47:H48"/>
  </mergeCells>
  <dataValidations count="5">
    <dataValidation type="decimal" operator="greaterThan" allowBlank="1" showInputMessage="1" showErrorMessage="1" sqref="D9">
      <formula1>0</formula1>
    </dataValidation>
    <dataValidation type="decimal" operator="greaterThan" allowBlank="1" showInputMessage="1" showErrorMessage="1" sqref="D10">
      <formula1>0</formula1>
    </dataValidation>
    <dataValidation type="decimal" operator="greaterThan" allowBlank="1" showInputMessage="1" showErrorMessage="1" sqref="D12">
      <formula1>0</formula1>
    </dataValidation>
    <dataValidation type="decimal" operator="greaterThanOrEqual" allowBlank="1" showInputMessage="1" showErrorMessage="1" sqref="D8">
      <formula1>0</formula1>
    </dataValidation>
    <dataValidation type="whole" allowBlank="1" showInputMessage="1" showErrorMessage="1" sqref="D11">
      <formula1>1</formula1>
      <formula2>1000</formula2>
    </dataValidation>
  </dataValidations>
  <pageMargins left="0.3" right="0.3" top="0.35" bottom="0.35" header="0.3" footer="0.3"/>
  <pageSetup paperSize="9" orientation="portrait"/>
  <headerFooter>
    <oddHeader>&amp;C&amp;BDruckverlust | Engineering&amp;B</oddHeader>
    <oddFooter>&amp;L&amp;D&amp;RSeite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Eingabe</vt:lpstr>
      <vt:lpstr>Ergebnisse</vt:lpstr>
      <vt:lpstr>Armaturendatenbank</vt:lpstr>
      <vt:lpstr>Lochblende</vt:lpstr>
      <vt:lpstr>Pumpe</vt:lpstr>
      <vt:lpstr>Betriebspunkte</vt:lpstr>
      <vt:lpstr>KvArmatur</vt:lpstr>
      <vt:lpstr>Blende_Standalone</vt:lpstr>
      <vt:lpstr>Systembericht</vt:lpstr>
      <vt:lpstr>Kv_Standalone</vt:lpstr>
      <vt:lpstr>ArmaturenTypen</vt:lpstr>
      <vt:lpstr>DNWerte</vt:lpstr>
      <vt:lpstr>Blende_Standalone!Print_Area</vt:lpstr>
      <vt:lpstr>Kv_Standalone!Print_Area</vt:lpstr>
      <vt:lpstr>Systembericht!Print_Area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Rohrleitungs-Systemkennlinie</dc:title>
  <dc:creator/>
  <dc:description>VBA-Module importieren und als XLSM speichern; README beachten.</dc:description>
  <cp:lastModifiedBy/>
  <dcterms:created xsi:type="dcterms:W3CDTF">2026-10-25T17:18:02Z</dcterms:created>
  <dcterms:modified xsi:type="dcterms:W3CDTF">2026-10-25T17:18:02Z</dcterms:modified>
</cp:coreProperties>
</file>